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11" codeName="{00000000-0000-0000-0000-0000000000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SLJ4CA\Desktop\"/>
    </mc:Choice>
  </mc:AlternateContent>
  <xr:revisionPtr revIDLastSave="0" documentId="13_ncr:1_{2EA1F8B7-E1E3-4105-82D7-225F7CA504FD}" xr6:coauthVersionLast="47" xr6:coauthVersionMax="47" xr10:uidLastSave="{00000000-0000-0000-0000-000000000000}"/>
  <bookViews>
    <workbookView xWindow="-120" yWindow="-120" windowWidth="20730" windowHeight="11160" tabRatio="712" xr2:uid="{00000000-000D-0000-FFFF-FFFF00000000}"/>
  </bookViews>
  <sheets>
    <sheet name="Projeto XXX" sheetId="22" r:id="rId1"/>
  </sheets>
  <definedNames>
    <definedName name="_xlnm._FilterDatabase" localSheetId="0" hidden="1">'Projeto XXX'!#REF!</definedName>
    <definedName name="_xlnm.Print_Area" localSheetId="0">'Projeto XXX'!$B$1:$DJ$34</definedName>
    <definedName name="List_of_status" localSheetId="0">#REF!</definedName>
    <definedName name="List_of_status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4" i="22" l="1"/>
  <c r="G53" i="22"/>
  <c r="G51" i="22"/>
  <c r="G50" i="22"/>
  <c r="G48" i="22"/>
  <c r="G47" i="22"/>
  <c r="G45" i="22"/>
  <c r="G44" i="22"/>
  <c r="G42" i="22"/>
  <c r="G41" i="22"/>
  <c r="G39" i="22"/>
  <c r="G38" i="22"/>
  <c r="G36" i="22"/>
  <c r="G35" i="22"/>
  <c r="G33" i="22"/>
  <c r="G32" i="22"/>
  <c r="G30" i="22"/>
  <c r="G29" i="22"/>
  <c r="G27" i="22"/>
  <c r="G26" i="22"/>
  <c r="G24" i="22"/>
  <c r="G23" i="22"/>
  <c r="G21" i="22"/>
  <c r="G20" i="22"/>
  <c r="G18" i="22"/>
  <c r="G17" i="22"/>
  <c r="J2" i="22"/>
  <c r="P8" i="22" s="1"/>
  <c r="BJ3" i="22"/>
  <c r="BK2" i="22" s="1"/>
  <c r="W8" i="22"/>
  <c r="AA8" i="22"/>
  <c r="AE8" i="22"/>
  <c r="AH8" i="22"/>
  <c r="AI8" i="22"/>
  <c r="AM8" i="22"/>
  <c r="AP8" i="22"/>
  <c r="AQ8" i="22"/>
  <c r="AU8" i="22"/>
  <c r="AX8" i="22"/>
  <c r="AY8" i="22"/>
  <c r="BC8" i="22"/>
  <c r="BF8" i="22"/>
  <c r="BG8" i="22"/>
  <c r="E70" i="22"/>
  <c r="O8" i="22" l="1"/>
  <c r="K8" i="22"/>
  <c r="Z8" i="22"/>
  <c r="S8" i="22"/>
  <c r="R8" i="22"/>
  <c r="BM8" i="22"/>
  <c r="BU8" i="22"/>
  <c r="CC8" i="22"/>
  <c r="CK8" i="22"/>
  <c r="CS8" i="22"/>
  <c r="DA8" i="22"/>
  <c r="BV8" i="22"/>
  <c r="CD8" i="22"/>
  <c r="DB8" i="22"/>
  <c r="CU8" i="22"/>
  <c r="BN8" i="22"/>
  <c r="BO8" i="22"/>
  <c r="CE8" i="22"/>
  <c r="DC8" i="22"/>
  <c r="CV8" i="22"/>
  <c r="DD8" i="22"/>
  <c r="BJ8" i="22"/>
  <c r="BZ8" i="22"/>
  <c r="CP8" i="22"/>
  <c r="CX8" i="22"/>
  <c r="BK8" i="22"/>
  <c r="CA8" i="22"/>
  <c r="CQ8" i="22"/>
  <c r="CT8" i="22"/>
  <c r="CM8" i="22"/>
  <c r="CW8" i="22"/>
  <c r="DE8" i="22"/>
  <c r="BR8" i="22"/>
  <c r="CH8" i="22"/>
  <c r="BS8" i="22"/>
  <c r="CI8" i="22"/>
  <c r="CY8" i="22"/>
  <c r="CL8" i="22"/>
  <c r="BW8" i="22"/>
  <c r="BB8" i="22"/>
  <c r="AL8" i="22"/>
  <c r="N8" i="22"/>
  <c r="CO8" i="22"/>
  <c r="CG8" i="22"/>
  <c r="BY8" i="22"/>
  <c r="BQ8" i="22"/>
  <c r="BI8" i="22"/>
  <c r="BA8" i="22"/>
  <c r="AS8" i="22"/>
  <c r="AK8" i="22"/>
  <c r="AC8" i="22"/>
  <c r="U8" i="22"/>
  <c r="M8" i="22"/>
  <c r="AT8" i="22"/>
  <c r="AD8" i="22"/>
  <c r="V8" i="22"/>
  <c r="CN8" i="22"/>
  <c r="CF8" i="22"/>
  <c r="BX8" i="22"/>
  <c r="BP8" i="22"/>
  <c r="BH8" i="22"/>
  <c r="AZ8" i="22"/>
  <c r="AR8" i="22"/>
  <c r="AJ8" i="22"/>
  <c r="AB8" i="22"/>
  <c r="T8" i="22"/>
  <c r="L8" i="22"/>
  <c r="J8" i="22"/>
  <c r="BE8" i="22"/>
  <c r="AW8" i="22"/>
  <c r="AO8" i="22"/>
  <c r="AG8" i="22"/>
  <c r="Y8" i="22"/>
  <c r="Q8" i="22"/>
  <c r="CZ8" i="22"/>
  <c r="CR8" i="22"/>
  <c r="CJ8" i="22"/>
  <c r="CB8" i="22"/>
  <c r="BT8" i="22"/>
  <c r="BL8" i="22"/>
  <c r="BD8" i="22"/>
  <c r="AV8" i="22"/>
  <c r="AN8" i="22"/>
  <c r="AF8" i="22"/>
  <c r="X8" i="22"/>
  <c r="C63" i="22"/>
  <c r="G14" i="22"/>
  <c r="K9" i="22" l="1"/>
  <c r="S9" i="22"/>
  <c r="AA9" i="22"/>
  <c r="AI9" i="22"/>
  <c r="AQ9" i="22"/>
  <c r="AY9" i="22"/>
  <c r="BG9" i="22"/>
  <c r="BO9" i="22"/>
  <c r="BW9" i="22"/>
  <c r="CE9" i="22"/>
  <c r="CM9" i="22"/>
  <c r="CU9" i="22"/>
  <c r="DC9" i="22"/>
  <c r="T9" i="22"/>
  <c r="AB9" i="22"/>
  <c r="AJ9" i="22"/>
  <c r="AR9" i="22"/>
  <c r="BH9" i="22"/>
  <c r="BP9" i="22"/>
  <c r="BX9" i="22"/>
  <c r="CN9" i="22"/>
  <c r="CV9" i="22"/>
  <c r="AD9" i="22"/>
  <c r="BB9" i="22"/>
  <c r="BZ9" i="22"/>
  <c r="CP9" i="22"/>
  <c r="BN9" i="22"/>
  <c r="L9" i="22"/>
  <c r="AZ9" i="22"/>
  <c r="CF9" i="22"/>
  <c r="DD9" i="22"/>
  <c r="BJ9" i="22"/>
  <c r="CX9" i="22"/>
  <c r="M9" i="22"/>
  <c r="U9" i="22"/>
  <c r="AC9" i="22"/>
  <c r="AK9" i="22"/>
  <c r="AS9" i="22"/>
  <c r="BA9" i="22"/>
  <c r="BI9" i="22"/>
  <c r="BQ9" i="22"/>
  <c r="BY9" i="22"/>
  <c r="CG9" i="22"/>
  <c r="CO9" i="22"/>
  <c r="CW9" i="22"/>
  <c r="DE9" i="22"/>
  <c r="N9" i="22"/>
  <c r="V9" i="22"/>
  <c r="AL9" i="22"/>
  <c r="AT9" i="22"/>
  <c r="BR9" i="22"/>
  <c r="CH9" i="22"/>
  <c r="R9" i="22"/>
  <c r="AH9" i="22"/>
  <c r="AX9" i="22"/>
  <c r="CD9" i="22"/>
  <c r="DB9" i="22"/>
  <c r="O9" i="22"/>
  <c r="W9" i="22"/>
  <c r="AE9" i="22"/>
  <c r="AM9" i="22"/>
  <c r="AU9" i="22"/>
  <c r="BC9" i="22"/>
  <c r="BK9" i="22"/>
  <c r="BS9" i="22"/>
  <c r="CA9" i="22"/>
  <c r="CI9" i="22"/>
  <c r="CQ9" i="22"/>
  <c r="CY9" i="22"/>
  <c r="AG9" i="22"/>
  <c r="BE9" i="22"/>
  <c r="BU9" i="22"/>
  <c r="CK9" i="22"/>
  <c r="DA9" i="22"/>
  <c r="J9" i="22"/>
  <c r="AP9" i="22"/>
  <c r="BF9" i="22"/>
  <c r="CL9" i="22"/>
  <c r="P9" i="22"/>
  <c r="X9" i="22"/>
  <c r="AF9" i="22"/>
  <c r="AN9" i="22"/>
  <c r="AV9" i="22"/>
  <c r="BD9" i="22"/>
  <c r="BL9" i="22"/>
  <c r="BT9" i="22"/>
  <c r="CB9" i="22"/>
  <c r="CJ9" i="22"/>
  <c r="CR9" i="22"/>
  <c r="CZ9" i="22"/>
  <c r="Q9" i="22"/>
  <c r="Y9" i="22"/>
  <c r="AO9" i="22"/>
  <c r="AW9" i="22"/>
  <c r="BM9" i="22"/>
  <c r="CC9" i="22"/>
  <c r="CS9" i="22"/>
  <c r="Z9" i="22"/>
  <c r="BV9" i="22"/>
  <c r="CT9" i="22"/>
  <c r="DJ3" i="22"/>
  <c r="DI8" i="22" l="1"/>
  <c r="DH8" i="22"/>
  <c r="DJ2" i="22"/>
  <c r="FI8" i="22" s="1"/>
  <c r="DF8" i="22"/>
  <c r="DG8" i="22"/>
  <c r="DH9" i="22" l="1"/>
  <c r="DI9" i="22"/>
  <c r="ED8" i="22"/>
  <c r="DU8" i="22"/>
  <c r="DU9" i="22" s="1"/>
  <c r="DJ8" i="22"/>
  <c r="DJ9" i="22" s="1"/>
  <c r="DO8" i="22"/>
  <c r="EI8" i="22"/>
  <c r="FC8" i="22"/>
  <c r="EB8" i="22"/>
  <c r="EV8" i="22"/>
  <c r="EO8" i="22"/>
  <c r="DM8" i="22"/>
  <c r="FF8" i="22"/>
  <c r="EL8" i="22"/>
  <c r="DZ8" i="22"/>
  <c r="DS8" i="22"/>
  <c r="EM8" i="22"/>
  <c r="DL8" i="22"/>
  <c r="EF8" i="22"/>
  <c r="EZ8" i="22"/>
  <c r="EW8" i="22"/>
  <c r="EC8" i="22"/>
  <c r="DQ8" i="22"/>
  <c r="EP8" i="22"/>
  <c r="EH8" i="22"/>
  <c r="EI9" i="22" s="1"/>
  <c r="DW8" i="22"/>
  <c r="EU8" i="22"/>
  <c r="DP8" i="22"/>
  <c r="EJ8" i="22"/>
  <c r="FH8" i="22"/>
  <c r="FI9" i="22" s="1"/>
  <c r="FA8" i="22"/>
  <c r="DF9" i="22"/>
  <c r="FB8" i="22"/>
  <c r="ET8" i="22"/>
  <c r="DY8" i="22"/>
  <c r="DZ9" i="22" s="1"/>
  <c r="EX8" i="22"/>
  <c r="EE8" i="22"/>
  <c r="EY8" i="22"/>
  <c r="DT8" i="22"/>
  <c r="ER8" i="22"/>
  <c r="EK8" i="22"/>
  <c r="FE8" i="22"/>
  <c r="DG9" i="22"/>
  <c r="DN8" i="22"/>
  <c r="EG8" i="22"/>
  <c r="DV8" i="22"/>
  <c r="DR8" i="22"/>
  <c r="DK8" i="22"/>
  <c r="EA8" i="22"/>
  <c r="EQ8" i="22"/>
  <c r="FG8" i="22"/>
  <c r="DX8" i="22"/>
  <c r="EN8" i="22"/>
  <c r="FD8" i="22"/>
  <c r="ES8" i="22"/>
  <c r="FF9" i="22" l="1"/>
  <c r="DO9" i="22"/>
  <c r="EW9" i="22"/>
  <c r="DW9" i="22"/>
  <c r="ET9" i="22"/>
  <c r="FB9" i="22"/>
  <c r="EV9" i="22"/>
  <c r="EK9" i="22"/>
  <c r="EM9" i="22"/>
  <c r="EP9" i="22"/>
  <c r="EO9" i="22"/>
  <c r="EH9" i="22"/>
  <c r="ED9" i="22"/>
  <c r="DY9" i="22"/>
  <c r="EF9" i="22"/>
  <c r="FC9" i="22"/>
  <c r="FH9" i="22"/>
  <c r="DR9" i="22"/>
  <c r="DT9" i="22"/>
  <c r="EC9" i="22"/>
  <c r="EB9" i="22"/>
  <c r="DK9" i="22"/>
  <c r="FA9" i="22"/>
  <c r="EZ9" i="22"/>
  <c r="EU9" i="22"/>
  <c r="DM9" i="22"/>
  <c r="EE9" i="22"/>
  <c r="DS9" i="22"/>
  <c r="FE9" i="22"/>
  <c r="ER9" i="22"/>
  <c r="EL9" i="22"/>
  <c r="DQ9" i="22"/>
  <c r="EY9" i="22"/>
  <c r="DP9" i="22"/>
  <c r="ES9" i="22"/>
  <c r="DL9" i="22"/>
  <c r="EJ9" i="22"/>
  <c r="FG9" i="22"/>
  <c r="DN9" i="22"/>
  <c r="EN9" i="22"/>
  <c r="EA9" i="22"/>
  <c r="DV9" i="22"/>
  <c r="FD9" i="22"/>
  <c r="EG9" i="22"/>
  <c r="DX9" i="22"/>
  <c r="EQ9" i="22"/>
</calcChain>
</file>

<file path=xl/sharedStrings.xml><?xml version="1.0" encoding="utf-8"?>
<sst xmlns="http://schemas.openxmlformats.org/spreadsheetml/2006/main" count="109" uniqueCount="51">
  <si>
    <t>◔</t>
  </si>
  <si>
    <t>◑</t>
  </si>
  <si>
    <t>Projeto - BOTinho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</si>
  <si>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</si>
  <si>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</si>
  <si>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</si>
  <si>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</si>
  <si>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</si>
  <si>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</si>
  <si>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</si>
  <si>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</si>
  <si>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</si>
  <si>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</si>
  <si>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</si>
  <si>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Dec</t>
  </si>
  <si>
    <t>Abril</t>
  </si>
  <si>
    <t>Dez</t>
  </si>
  <si>
    <t>◕</t>
  </si>
  <si>
    <t>Start</t>
  </si>
  <si>
    <t>Finish</t>
  </si>
  <si>
    <t>Leadtime</t>
  </si>
  <si>
    <t>Resp</t>
  </si>
  <si>
    <t>Status</t>
  </si>
  <si>
    <t>Create RFQ</t>
  </si>
  <si>
    <t>P</t>
  </si>
  <si>
    <t>D</t>
  </si>
  <si>
    <t>Estudo de Ferramentas</t>
  </si>
  <si>
    <t>Todos</t>
  </si>
  <si>
    <t>Pesquisar Patente</t>
  </si>
  <si>
    <t>Listar componentes / Orçamento</t>
  </si>
  <si>
    <t>Naiury/Dante</t>
  </si>
  <si>
    <t>Planejar design</t>
  </si>
  <si>
    <t>Montanari/Maitê/Giovanna</t>
  </si>
  <si>
    <t>Programação</t>
  </si>
  <si>
    <t>Desenvolver Machine Learning do projeto</t>
  </si>
  <si>
    <t>Projeto e montagem de circuito eletrônico</t>
  </si>
  <si>
    <t>Projeto e montagem da estrutura mecânica</t>
  </si>
  <si>
    <t>Maitê/Naiury/Montanari</t>
  </si>
  <si>
    <t>Finalizar montagem</t>
  </si>
  <si>
    <t>Montanari/Naiury/Maitê</t>
  </si>
  <si>
    <t>Validar Projeto</t>
  </si>
  <si>
    <t>Elaborar documentação final</t>
  </si>
  <si>
    <t>Dante/Giovanna</t>
  </si>
  <si>
    <t>Montagem da Apresentação</t>
  </si>
  <si>
    <t>Maitê/Naiury</t>
  </si>
  <si>
    <t>Confecção do Pitch</t>
  </si>
  <si>
    <t>Montanari</t>
  </si>
  <si>
    <t>Entrega</t>
  </si>
  <si>
    <t>updated:</t>
  </si>
  <si>
    <t>Milestone on part level</t>
  </si>
  <si>
    <t>Milestone on product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</si>
</sst>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23">
    <font>
      <sz val="10"/>
      <name val="Arial"/>
    </font>
    <font>
      <sz val="10"/>
      <name val="Bosch Office Sans"/>
      <family val="2"/>
    </font>
    <font>
      <sz val="9"/>
      <name val="Bosch Office Sans"/>
      <family val="2"/>
    </font>
    <font>
      <sz val="10"/>
      <name val="Arial"/>
      <family val="2"/>
    </font>
    <font>
      <sz val="12"/>
      <name val="Arial"/>
      <family val="2"/>
    </font>
    <font>
      <sz val="6"/>
      <name val="Bosch Office Sans"/>
    </font>
    <font>
      <sz val="11"/>
      <color theme="0"/>
      <name val="Bosch Office Sans"/>
    </font>
    <font>
      <sz val="8"/>
      <color theme="0"/>
      <name val="Bosch Office Sans"/>
    </font>
    <font>
      <b/>
      <u/>
      <sz val="6"/>
      <color theme="0"/>
      <name val="Bosch Office Sans"/>
    </font>
    <font>
      <sz val="6"/>
      <color theme="0"/>
      <name val="Bosch Office Sans"/>
    </font>
    <font>
      <sz val="7"/>
      <color theme="0"/>
      <name val="Bosch Office Sans"/>
    </font>
    <font>
      <b/>
      <sz val="6"/>
      <color theme="0"/>
      <name val="Bosch Office Sans"/>
    </font>
    <font>
      <sz val="6"/>
      <color theme="4" tint="0.59999389629810485"/>
      <name val="Bosch Office Sans"/>
    </font>
    <font>
      <sz val="10"/>
      <color theme="0"/>
      <name val="Bosch Office Sans"/>
    </font>
    <font>
      <b/>
      <sz val="11"/>
      <color theme="0"/>
      <name val="Bosch Office Sans"/>
    </font>
    <font>
      <b/>
      <sz val="8"/>
      <color theme="0"/>
      <name val="Bosch Office Sans"/>
    </font>
    <font>
      <b/>
      <sz val="7"/>
      <color theme="0"/>
      <name val="Bosch Office Sans"/>
    </font>
    <font>
      <sz val="18"/>
      <color rgb="FF00B050"/>
      <name val="Wingdings"/>
      <charset val="2"/>
    </font>
    <font>
      <b/>
      <sz val="6"/>
      <name val="Bosch Office Sans"/>
    </font>
    <font>
      <sz val="8"/>
      <name val="Bosch Office Sans"/>
    </font>
    <font>
      <sz val="8"/>
      <color theme="1"/>
      <name val="Bosch Office Sans"/>
    </font>
    <font>
      <b/>
      <sz val="18"/>
      <name val="Bosch Office Sans"/>
    </font>
    <font>
      <u/>
      <sz val="8"/>
      <color theme="0"/>
      <name val="Bosch Office Sans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99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6" fillId="2" borderId="0" xfId="2" applyFont="1" applyFill="1" applyAlignment="1">
      <alignment horizontal="center"/>
    </xf>
    <xf numFmtId="0" fontId="6" fillId="2" borderId="0" xfId="2" applyFont="1" applyFill="1" applyAlignment="1">
      <alignment vertical="center"/>
    </xf>
    <xf numFmtId="0" fontId="6" fillId="2" borderId="0" xfId="2" applyFont="1" applyFill="1" applyAlignment="1">
      <alignment horizontal="center" vertical="center" wrapText="1"/>
    </xf>
    <xf numFmtId="0" fontId="6" fillId="2" borderId="0" xfId="2" applyFont="1" applyFill="1" applyAlignment="1">
      <alignment vertical="center" wrapText="1"/>
    </xf>
    <xf numFmtId="164" fontId="7" fillId="2" borderId="0" xfId="2" applyNumberFormat="1" applyFont="1" applyFill="1" applyAlignment="1">
      <alignment horizontal="center" vertical="center"/>
    </xf>
    <xf numFmtId="164" fontId="7" fillId="2" borderId="0" xfId="2" applyNumberFormat="1" applyFont="1" applyFill="1" applyAlignment="1" applyProtection="1">
      <alignment horizontal="center" vertical="center" wrapText="1"/>
      <protection locked="0"/>
    </xf>
    <xf numFmtId="0" fontId="8" fillId="2" borderId="0" xfId="2" applyFont="1" applyFill="1"/>
    <xf numFmtId="0" fontId="9" fillId="2" borderId="0" xfId="2" applyFont="1" applyFill="1" applyAlignment="1">
      <alignment vertical="center"/>
    </xf>
    <xf numFmtId="0" fontId="9" fillId="2" borderId="0" xfId="2" applyFont="1" applyFill="1" applyAlignment="1">
      <alignment horizontal="center" vertical="center"/>
    </xf>
    <xf numFmtId="0" fontId="9" fillId="2" borderId="0" xfId="2" applyFont="1" applyFill="1"/>
    <xf numFmtId="0" fontId="6" fillId="2" borderId="0" xfId="2" applyFont="1" applyFill="1"/>
    <xf numFmtId="0" fontId="7" fillId="2" borderId="0" xfId="2" applyFont="1" applyFill="1" applyAlignment="1">
      <alignment horizontal="center"/>
    </xf>
    <xf numFmtId="0" fontId="7" fillId="2" borderId="0" xfId="2" applyFont="1" applyFill="1"/>
    <xf numFmtId="0" fontId="4" fillId="2" borderId="0" xfId="0" applyFont="1" applyFill="1" applyAlignment="1">
      <alignment vertical="center" wrapText="1"/>
    </xf>
    <xf numFmtId="0" fontId="9" fillId="2" borderId="0" xfId="2" applyFont="1" applyFill="1" applyAlignment="1">
      <alignment horizontal="center" vertical="center" textRotation="90"/>
    </xf>
    <xf numFmtId="14" fontId="9" fillId="2" borderId="0" xfId="2" applyNumberFormat="1" applyFont="1" applyFill="1" applyAlignment="1">
      <alignment horizontal="center" vertical="center" textRotation="90" wrapText="1"/>
    </xf>
    <xf numFmtId="0" fontId="5" fillId="2" borderId="0" xfId="2" applyFont="1" applyFill="1"/>
    <xf numFmtId="0" fontId="9" fillId="2" borderId="0" xfId="2" applyFont="1" applyFill="1" applyAlignment="1">
      <alignment vertical="center" wrapText="1"/>
    </xf>
    <xf numFmtId="14" fontId="9" fillId="2" borderId="0" xfId="2" applyNumberFormat="1" applyFont="1" applyFill="1"/>
    <xf numFmtId="0" fontId="9" fillId="2" borderId="0" xfId="2" applyFont="1" applyFill="1" applyAlignment="1">
      <alignment horizontal="center"/>
    </xf>
    <xf numFmtId="0" fontId="5" fillId="2" borderId="0" xfId="2" applyFont="1" applyFill="1" applyAlignment="1">
      <alignment horizontal="center"/>
    </xf>
    <xf numFmtId="0" fontId="10" fillId="2" borderId="0" xfId="2" applyFont="1" applyFill="1" applyAlignment="1">
      <alignment horizontal="center" vertical="center" wrapText="1"/>
    </xf>
    <xf numFmtId="0" fontId="10" fillId="2" borderId="0" xfId="2" applyFont="1" applyFill="1" applyAlignment="1">
      <alignment horizontal="center"/>
    </xf>
    <xf numFmtId="0" fontId="4" fillId="2" borderId="1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vertical="center" wrapText="1"/>
    </xf>
    <xf numFmtId="0" fontId="4" fillId="2" borderId="4" xfId="0" applyFont="1" applyFill="1" applyBorder="1" applyAlignment="1">
      <alignment vertical="center" wrapText="1"/>
    </xf>
    <xf numFmtId="0" fontId="4" fillId="2" borderId="5" xfId="0" applyFont="1" applyFill="1" applyBorder="1" applyAlignment="1">
      <alignment vertical="center" wrapText="1"/>
    </xf>
    <xf numFmtId="0" fontId="4" fillId="2" borderId="6" xfId="0" applyFont="1" applyFill="1" applyBorder="1" applyAlignment="1">
      <alignment vertical="center" wrapText="1"/>
    </xf>
    <xf numFmtId="0" fontId="4" fillId="2" borderId="7" xfId="0" applyFont="1" applyFill="1" applyBorder="1" applyAlignment="1">
      <alignment vertical="center" wrapText="1"/>
    </xf>
    <xf numFmtId="0" fontId="4" fillId="2" borderId="8" xfId="0" applyFont="1" applyFill="1" applyBorder="1" applyAlignment="1">
      <alignment vertical="center" wrapText="1"/>
    </xf>
    <xf numFmtId="164" fontId="7" fillId="3" borderId="2" xfId="2" applyNumberFormat="1" applyFont="1" applyFill="1" applyBorder="1" applyAlignment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 wrapText="1"/>
      <protection locked="0"/>
    </xf>
    <xf numFmtId="164" fontId="7" fillId="3" borderId="7" xfId="2" applyNumberFormat="1" applyFont="1" applyFill="1" applyBorder="1" applyAlignment="1">
      <alignment horizontal="center" vertical="center"/>
    </xf>
    <xf numFmtId="164" fontId="7" fillId="3" borderId="7" xfId="2" applyNumberFormat="1" applyFont="1" applyFill="1" applyBorder="1" applyAlignment="1" applyProtection="1">
      <alignment horizontal="center" vertical="center" wrapText="1"/>
      <protection locked="0"/>
    </xf>
    <xf numFmtId="0" fontId="12" fillId="2" borderId="0" xfId="2" applyFont="1" applyFill="1" applyAlignment="1">
      <alignment horizontal="center" vertical="center"/>
    </xf>
    <xf numFmtId="0" fontId="13" fillId="2" borderId="0" xfId="2" applyFont="1" applyFill="1" applyAlignment="1">
      <alignment horizontal="right" vertical="top"/>
    </xf>
    <xf numFmtId="14" fontId="13" fillId="2" borderId="0" xfId="2" applyNumberFormat="1" applyFont="1" applyFill="1" applyAlignment="1">
      <alignment horizontal="left" vertical="top"/>
    </xf>
    <xf numFmtId="0" fontId="9" fillId="0" borderId="0" xfId="2" applyFont="1"/>
    <xf numFmtId="0" fontId="14" fillId="0" borderId="0" xfId="2" applyFont="1"/>
    <xf numFmtId="0" fontId="7" fillId="0" borderId="0" xfId="2" applyFont="1" applyAlignment="1">
      <alignment horizontal="center"/>
    </xf>
    <xf numFmtId="0" fontId="7" fillId="0" borderId="0" xfId="2" applyFont="1"/>
    <xf numFmtId="0" fontId="6" fillId="0" borderId="0" xfId="2" applyFont="1"/>
    <xf numFmtId="0" fontId="6" fillId="0" borderId="0" xfId="2" applyFont="1" applyAlignment="1">
      <alignment horizontal="center"/>
    </xf>
    <xf numFmtId="0" fontId="6" fillId="0" borderId="0" xfId="2" applyFont="1" applyAlignment="1">
      <alignment wrapText="1"/>
    </xf>
    <xf numFmtId="0" fontId="9" fillId="0" borderId="0" xfId="2" applyFont="1" applyAlignment="1">
      <alignment wrapText="1"/>
    </xf>
    <xf numFmtId="0" fontId="9" fillId="0" borderId="0" xfId="2" applyFont="1" applyAlignment="1">
      <alignment vertical="center" wrapText="1"/>
    </xf>
    <xf numFmtId="0" fontId="9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wrapText="1"/>
    </xf>
    <xf numFmtId="0" fontId="5" fillId="0" borderId="0" xfId="2" applyFont="1" applyAlignment="1">
      <alignment wrapText="1"/>
    </xf>
    <xf numFmtId="0" fontId="6" fillId="0" borderId="0" xfId="2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5" fillId="3" borderId="9" xfId="2" applyFont="1" applyFill="1" applyBorder="1" applyAlignment="1">
      <alignment horizontal="center" vertical="center" wrapText="1"/>
    </xf>
    <xf numFmtId="1" fontId="9" fillId="2" borderId="0" xfId="2" applyNumberFormat="1" applyFont="1" applyFill="1" applyAlignment="1">
      <alignment horizontal="center"/>
    </xf>
    <xf numFmtId="1" fontId="5" fillId="2" borderId="0" xfId="2" applyNumberFormat="1" applyFont="1" applyFill="1" applyAlignment="1">
      <alignment horizontal="center"/>
    </xf>
    <xf numFmtId="1" fontId="7" fillId="3" borderId="1" xfId="2" applyNumberFormat="1" applyFont="1" applyFill="1" applyBorder="1" applyAlignment="1" applyProtection="1">
      <alignment horizontal="center" vertical="center" wrapText="1"/>
      <protection locked="0"/>
    </xf>
    <xf numFmtId="1" fontId="7" fillId="3" borderId="6" xfId="2" applyNumberFormat="1" applyFont="1" applyFill="1" applyBorder="1" applyAlignment="1" applyProtection="1">
      <alignment horizontal="center" vertical="center" wrapText="1"/>
      <protection locked="0"/>
    </xf>
    <xf numFmtId="1" fontId="7" fillId="2" borderId="0" xfId="2" applyNumberFormat="1" applyFont="1" applyFill="1" applyAlignment="1" applyProtection="1">
      <alignment horizontal="center" vertical="center" wrapText="1"/>
      <protection locked="0"/>
    </xf>
    <xf numFmtId="1" fontId="2" fillId="2" borderId="0" xfId="0" applyNumberFormat="1" applyFont="1" applyFill="1" applyAlignment="1">
      <alignment horizontal="center" vertical="center"/>
    </xf>
    <xf numFmtId="1" fontId="7" fillId="0" borderId="0" xfId="2" applyNumberFormat="1" applyFont="1" applyAlignment="1">
      <alignment horizontal="center"/>
    </xf>
    <xf numFmtId="1" fontId="7" fillId="2" borderId="0" xfId="2" applyNumberFormat="1" applyFont="1" applyFill="1" applyAlignment="1">
      <alignment horizontal="center"/>
    </xf>
    <xf numFmtId="164" fontId="7" fillId="2" borderId="4" xfId="2" applyNumberFormat="1" applyFont="1" applyFill="1" applyBorder="1" applyAlignment="1" applyProtection="1">
      <alignment horizontal="center" vertical="center" wrapText="1"/>
      <protection locked="0"/>
    </xf>
    <xf numFmtId="0" fontId="18" fillId="2" borderId="0" xfId="2" applyFont="1" applyFill="1" applyAlignment="1">
      <alignment vertical="center" wrapText="1"/>
    </xf>
    <xf numFmtId="1" fontId="18" fillId="2" borderId="0" xfId="2" applyNumberFormat="1" applyFont="1" applyFill="1" applyAlignment="1">
      <alignment horizontal="center" vertical="center" wrapText="1"/>
    </xf>
    <xf numFmtId="0" fontId="19" fillId="2" borderId="0" xfId="2" applyFont="1" applyFill="1" applyAlignment="1">
      <alignment horizontal="center" vertical="center"/>
    </xf>
    <xf numFmtId="1" fontId="19" fillId="2" borderId="0" xfId="2" applyNumberFormat="1" applyFont="1" applyFill="1" applyAlignment="1">
      <alignment horizontal="center" vertical="center"/>
    </xf>
    <xf numFmtId="164" fontId="7" fillId="3" borderId="3" xfId="2" applyNumberFormat="1" applyFont="1" applyFill="1" applyBorder="1" applyAlignment="1" applyProtection="1">
      <alignment horizontal="center" vertical="center" wrapText="1"/>
      <protection locked="0"/>
    </xf>
    <xf numFmtId="1" fontId="7" fillId="3" borderId="13" xfId="2" applyNumberFormat="1" applyFont="1" applyFill="1" applyBorder="1" applyAlignment="1" applyProtection="1">
      <alignment horizontal="center" vertical="center" wrapText="1"/>
      <protection locked="0"/>
    </xf>
    <xf numFmtId="1" fontId="7" fillId="3" borderId="14" xfId="2" applyNumberFormat="1" applyFont="1" applyFill="1" applyBorder="1" applyAlignment="1" applyProtection="1">
      <alignment horizontal="center" vertical="center" wrapText="1"/>
      <protection locked="0"/>
    </xf>
    <xf numFmtId="0" fontId="16" fillId="3" borderId="9" xfId="2" applyFont="1" applyFill="1" applyBorder="1" applyAlignment="1">
      <alignment horizontal="center" vertical="center"/>
    </xf>
    <xf numFmtId="0" fontId="16" fillId="3" borderId="11" xfId="2" applyFont="1" applyFill="1" applyBorder="1" applyAlignment="1">
      <alignment vertical="center"/>
    </xf>
    <xf numFmtId="0" fontId="16" fillId="3" borderId="12" xfId="2" applyFont="1" applyFill="1" applyBorder="1" applyAlignment="1">
      <alignment vertical="center"/>
    </xf>
    <xf numFmtId="16" fontId="20" fillId="4" borderId="0" xfId="2" applyNumberFormat="1" applyFont="1" applyFill="1"/>
    <xf numFmtId="2" fontId="20" fillId="4" borderId="0" xfId="2" applyNumberFormat="1" applyFont="1" applyFill="1"/>
    <xf numFmtId="164" fontId="22" fillId="3" borderId="2" xfId="2" applyNumberFormat="1" applyFont="1" applyFill="1" applyBorder="1" applyAlignment="1" applyProtection="1">
      <alignment horizontal="center" vertical="center" wrapText="1"/>
      <protection locked="0"/>
    </xf>
    <xf numFmtId="0" fontId="4" fillId="5" borderId="0" xfId="0" applyFont="1" applyFill="1" applyAlignment="1">
      <alignment vertical="center" wrapText="1"/>
    </xf>
    <xf numFmtId="164" fontId="14" fillId="2" borderId="0" xfId="2" applyNumberFormat="1" applyFont="1" applyFill="1" applyAlignment="1">
      <alignment horizontal="left" vertical="center"/>
    </xf>
    <xf numFmtId="164" fontId="14" fillId="3" borderId="1" xfId="2" applyNumberFormat="1" applyFont="1" applyFill="1" applyBorder="1" applyAlignment="1">
      <alignment horizontal="left" vertical="center" wrapText="1"/>
    </xf>
    <xf numFmtId="164" fontId="14" fillId="3" borderId="2" xfId="2" applyNumberFormat="1" applyFont="1" applyFill="1" applyBorder="1" applyAlignment="1">
      <alignment horizontal="left" vertical="center"/>
    </xf>
    <xf numFmtId="164" fontId="14" fillId="3" borderId="6" xfId="2" applyNumberFormat="1" applyFont="1" applyFill="1" applyBorder="1" applyAlignment="1">
      <alignment horizontal="left" vertical="center"/>
    </xf>
    <xf numFmtId="164" fontId="14" fillId="3" borderId="7" xfId="2" applyNumberFormat="1" applyFont="1" applyFill="1" applyBorder="1" applyAlignment="1">
      <alignment horizontal="left" vertical="center"/>
    </xf>
    <xf numFmtId="164" fontId="7" fillId="3" borderId="13" xfId="2" applyNumberFormat="1" applyFont="1" applyFill="1" applyBorder="1" applyAlignment="1" applyProtection="1">
      <alignment horizontal="center" vertical="center" wrapText="1"/>
      <protection locked="0"/>
    </xf>
    <xf numFmtId="164" fontId="7" fillId="3" borderId="14" xfId="2" applyNumberFormat="1" applyFont="1" applyFill="1" applyBorder="1" applyAlignment="1" applyProtection="1">
      <alignment horizontal="center" vertical="center" wrapText="1"/>
      <protection locked="0"/>
    </xf>
    <xf numFmtId="0" fontId="17" fillId="2" borderId="0" xfId="0" applyFont="1" applyFill="1" applyAlignment="1">
      <alignment horizontal="center" vertical="center" wrapText="1"/>
    </xf>
    <xf numFmtId="0" fontId="11" fillId="2" borderId="0" xfId="2" applyFont="1" applyFill="1" applyAlignment="1">
      <alignment horizontal="left" vertical="center" wrapText="1"/>
    </xf>
    <xf numFmtId="0" fontId="9" fillId="2" borderId="7" xfId="2" applyFont="1" applyFill="1" applyBorder="1" applyAlignment="1">
      <alignment horizontal="center"/>
    </xf>
    <xf numFmtId="0" fontId="9" fillId="2" borderId="0" xfId="2" applyFont="1" applyFill="1" applyAlignment="1">
      <alignment horizontal="center"/>
    </xf>
    <xf numFmtId="0" fontId="21" fillId="2" borderId="0" xfId="2" applyFont="1" applyFill="1" applyAlignment="1">
      <alignment horizontal="left" vertical="center" wrapText="1"/>
    </xf>
    <xf numFmtId="0" fontId="16" fillId="3" borderId="10" xfId="2" applyFont="1" applyFill="1" applyBorder="1" applyAlignment="1">
      <alignment horizontal="center" vertical="center"/>
    </xf>
    <xf numFmtId="0" fontId="16" fillId="3" borderId="11" xfId="2" applyFont="1" applyFill="1" applyBorder="1" applyAlignment="1">
      <alignment horizontal="center" vertical="center"/>
    </xf>
    <xf numFmtId="0" fontId="16" fillId="3" borderId="12" xfId="2" applyFont="1" applyFill="1" applyBorder="1" applyAlignment="1">
      <alignment horizontal="center" vertical="center"/>
    </xf>
    <xf numFmtId="0" fontId="15" fillId="3" borderId="10" xfId="2" applyFont="1" applyFill="1" applyBorder="1" applyAlignment="1">
      <alignment horizontal="center" vertical="center" wrapText="1"/>
    </xf>
    <xf numFmtId="0" fontId="15" fillId="3" borderId="11" xfId="2" applyFont="1" applyFill="1" applyBorder="1" applyAlignment="1">
      <alignment horizontal="center" vertical="center" wrapText="1"/>
    </xf>
    <xf numFmtId="0" fontId="15" fillId="3" borderId="12" xfId="2" applyFont="1" applyFill="1" applyBorder="1" applyAlignment="1">
      <alignment horizontal="center" vertical="center" wrapText="1"/>
    </xf>
    <xf numFmtId="164" fontId="14" fillId="3" borderId="1" xfId="2" applyNumberFormat="1" applyFont="1" applyFill="1" applyBorder="1" applyAlignment="1">
      <alignment horizontal="left" vertical="center"/>
    </xf>
  </cellXfs>
  <cellStyles count="3">
    <cellStyle name="Estilo 1" xfId="1" xr:uid="{00000000-0005-0000-0000-000000000000}"/>
    <cellStyle name="Normal" xfId="0" builtinId="0"/>
    <cellStyle name="Normal 6" xfId="2" xr:uid="{00000000-0005-0000-0000-000002000000}"/>
  </cellStyles>
  <dxfs count="295"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border>
        <left style="thin">
          <color rgb="FFFF0000"/>
        </left>
      </border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color rgb="FF00B050"/>
      </font>
    </dxf>
    <dxf>
      <font>
        <color rgb="FFFF0000"/>
      </font>
    </dxf>
    <dxf>
      <border>
        <left style="thin">
          <color rgb="FFFF0000"/>
        </left>
      </border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border>
        <left style="thin">
          <color rgb="FFFF0000"/>
        </left>
      </border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color rgb="FF00B050"/>
      </font>
    </dxf>
    <dxf>
      <font>
        <color rgb="FFFF0000"/>
      </font>
    </dxf>
    <dxf>
      <border>
        <left style="thin">
          <color rgb="FFFF0000"/>
        </left>
      </border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border>
        <left style="thin">
          <color rgb="FFFF0000"/>
        </left>
      </border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b val="0"/>
        <i val="0"/>
        <condense val="0"/>
        <extend val="0"/>
        <color indexed="9"/>
      </font>
      <fill>
        <patternFill>
          <bgColor indexed="12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border>
        <left style="dashed">
          <color indexed="10"/>
        </left>
      </border>
    </dxf>
    <dxf>
      <fill>
        <patternFill>
          <bgColor rgb="FF00B05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font>
        <strike/>
        <condense val="0"/>
        <extend val="0"/>
      </font>
    </dxf>
    <dxf>
      <font>
        <strike val="0"/>
        <condense val="0"/>
        <extend val="0"/>
        <u val="none"/>
        <color auto="1"/>
      </font>
      <fill>
        <patternFill>
          <bgColor indexed="10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strike/>
        <condense val="0"/>
        <extend val="0"/>
      </font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strike/>
        <condense val="0"/>
        <extend val="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color rgb="FF00B050"/>
      </font>
    </dxf>
    <dxf>
      <font>
        <color rgb="FFFF0000"/>
      </font>
    </dxf>
    <dxf>
      <font>
        <strike/>
        <condense val="0"/>
        <extend val="0"/>
      </font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font>
        <b val="0"/>
        <i val="0"/>
        <condense val="0"/>
        <extend val="0"/>
        <color indexed="9"/>
      </font>
      <fill>
        <patternFill>
          <bgColor indexed="12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 val="0"/>
        <i val="0"/>
        <condense val="0"/>
        <extend val="0"/>
        <color indexed="9"/>
      </font>
      <fill>
        <patternFill>
          <bgColor indexed="12"/>
        </patternFill>
      </fill>
    </dxf>
    <dxf>
      <border>
        <left style="thin">
          <color rgb="FFFF0000"/>
        </left>
      </border>
    </dxf>
    <dxf>
      <fill>
        <patternFill>
          <bgColor theme="4" tint="-0.24994659260841701"/>
        </patternFill>
      </fill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color rgb="FF00B050"/>
      </font>
    </dxf>
    <dxf>
      <font>
        <color rgb="FFFF0000"/>
      </font>
    </dxf>
    <dxf>
      <font>
        <b val="0"/>
        <i val="0"/>
        <condense val="0"/>
        <extend val="0"/>
        <color indexed="9"/>
      </font>
      <fill>
        <patternFill>
          <bgColor indexed="12"/>
        </patternFill>
      </fill>
    </dxf>
    <dxf>
      <border>
        <left style="dashed">
          <color rgb="FFFF0000"/>
        </left>
      </border>
    </dxf>
    <dxf>
      <fill>
        <patternFill>
          <bgColor theme="2" tint="-0.24994659260841701"/>
        </patternFill>
      </fill>
    </dxf>
    <dxf>
      <border>
        <left style="dashed">
          <color indexed="10"/>
        </left>
      </border>
    </dxf>
    <dxf>
      <fill>
        <patternFill>
          <bgColor rgb="FF00B050"/>
        </patternFill>
      </fill>
    </dxf>
    <dxf>
      <font>
        <b val="0"/>
        <i val="0"/>
        <condense val="0"/>
        <extend val="0"/>
        <color indexed="9"/>
      </font>
      <fill>
        <patternFill>
          <bgColor indexed="12"/>
        </patternFill>
      </fill>
    </dxf>
    <dxf>
      <border>
        <left style="thin">
          <color rgb="FFFF0000"/>
        </left>
      </border>
    </dxf>
    <dxf>
      <border>
        <left style="thin">
          <color indexed="10"/>
        </left>
      </border>
    </dxf>
    <dxf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b/>
        <i/>
        <strike val="0"/>
        <color rgb="FFFFFF00"/>
      </font>
    </dxf>
    <dxf>
      <font>
        <color rgb="FF00B050"/>
      </font>
    </dxf>
    <dxf>
      <font>
        <color rgb="FFFF0000"/>
      </font>
    </dxf>
    <dxf>
      <font>
        <strike/>
        <condense val="0"/>
        <extend val="0"/>
      </font>
    </dxf>
    <dxf>
      <font>
        <strike val="0"/>
        <color theme="0"/>
        <name val="Cambria"/>
        <scheme val="none"/>
      </font>
      <fill>
        <patternFill>
          <bgColor theme="4" tint="-0.24994659260841701"/>
        </patternFill>
      </fill>
    </dxf>
    <dxf>
      <font>
        <condense val="0"/>
        <extend val="0"/>
        <color indexed="12"/>
      </font>
    </dxf>
    <dxf>
      <font>
        <b val="0"/>
        <i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microsoft.com/office/2006/relationships/vbaProject" Target="vbaProject.bin"/><Relationship Id="rId5" Type="http://schemas.openxmlformats.org/officeDocument/2006/relationships/calcChain" Target="calcChain.xml"/><Relationship Id="rId10" Type="http://schemas.openxmlformats.org/officeDocument/2006/relationships/customXml" Target="../customXml/item5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80</xdr:col>
      <xdr:colOff>125730</xdr:colOff>
      <xdr:row>62</xdr:row>
      <xdr:rowOff>49529</xdr:rowOff>
    </xdr:from>
    <xdr:to>
      <xdr:col>83</xdr:col>
      <xdr:colOff>13</xdr:colOff>
      <xdr:row>62</xdr:row>
      <xdr:rowOff>419347</xdr:rowOff>
    </xdr:to>
    <xdr:sp macro="" textlink="">
      <xdr:nvSpPr>
        <xdr:cNvPr id="2" name="Fluxograma: Decisã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15988030" y="9422129"/>
          <a:ext cx="407683" cy="369818"/>
        </a:xfrm>
        <a:prstGeom prst="flowChartDecision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 upright="1"/>
        <a:lstStyle/>
        <a:p>
          <a:pPr algn="ctr"/>
          <a:endParaRPr lang="pt-BR" sz="1100" b="1"/>
        </a:p>
      </xdr:txBody>
    </xdr:sp>
    <xdr:clientData/>
  </xdr:twoCellAnchor>
  <xdr:twoCellAnchor>
    <xdr:from>
      <xdr:col>74</xdr:col>
      <xdr:colOff>0</xdr:colOff>
      <xdr:row>62</xdr:row>
      <xdr:rowOff>133349</xdr:rowOff>
    </xdr:from>
    <xdr:to>
      <xdr:col>74</xdr:col>
      <xdr:colOff>0</xdr:colOff>
      <xdr:row>62</xdr:row>
      <xdr:rowOff>533615</xdr:rowOff>
    </xdr:to>
    <xdr:sp macro="" textlink="">
      <xdr:nvSpPr>
        <xdr:cNvPr id="3" name="Fluxograma: Decisã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4795500" y="9505949"/>
          <a:ext cx="0" cy="400266"/>
        </a:xfrm>
        <a:prstGeom prst="flowChartDecision">
          <a:avLst/>
        </a:prstGeom>
        <a:solidFill>
          <a:srgbClr val="00B0F0"/>
        </a:solidFill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 upright="1"/>
        <a:lstStyle/>
        <a:p>
          <a:pPr algn="ctr"/>
          <a:endParaRPr lang="pt-B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91440" tIns="45720" rIns="91440" bIns="45720" upright="1"/>
      <a:lstStyle/>
    </a:spDef>
    <a:lnDef>
      <a:spPr bwMode="auto">
        <a:solidFill>
          <a:srgbClr val="C0C0C0"/>
        </a:solidFill>
        <a:ln w="9525" cap="flat" cmpd="sng" algn="ctr">
          <a:solidFill>
            <a:srgbClr val="FFFF00"/>
          </a:solidFill>
          <a:prstDash val="solid"/>
          <a:round/>
          <a:headEnd type="none" w="med" len="med"/>
          <a:tailEnd type="triangle"/>
        </a:ln>
        <a:effectLst/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1">
    <pageSetUpPr fitToPage="1"/>
  </sheetPr>
  <dimension ref="A1:HD102"/>
  <sheetViews>
    <sheetView showGridLines="0" tabSelected="1" zoomScale="115" zoomScaleNormal="115" zoomScaleSheetLayoutView="100" workbookViewId="0">
      <selection activeCell="I23" sqref="I23:I24"/>
    </sheetView>
  </sheetViews>
  <sheetFormatPr defaultColWidth="9.42578125" defaultRowHeight="14.25"/>
  <cols>
    <col min="1" max="1" width="1.5703125" style="13" customWidth="1"/>
    <col min="2" max="2" width="7.5703125" style="14" bestFit="1" customWidth="1"/>
    <col min="3" max="3" width="32.42578125" style="14" customWidth="1"/>
    <col min="4" max="4" width="2.42578125" style="15" customWidth="1"/>
    <col min="5" max="6" width="8" style="16" customWidth="1"/>
    <col min="7" max="7" width="10.42578125" style="64" customWidth="1"/>
    <col min="8" max="8" width="16.140625" style="16" customWidth="1"/>
    <col min="9" max="9" width="5.5703125" style="14" bestFit="1" customWidth="1"/>
    <col min="10" max="109" width="2.5703125" style="14" hidden="1" customWidth="1"/>
    <col min="110" max="112" width="2.5703125" style="14" customWidth="1"/>
    <col min="113" max="113" width="3" style="14" customWidth="1"/>
    <col min="114" max="114" width="2.5703125" style="14" customWidth="1"/>
    <col min="115" max="115" width="2.5703125" style="4" customWidth="1"/>
    <col min="116" max="166" width="2.5703125" style="14" customWidth="1"/>
    <col min="167" max="167" width="2" style="14" customWidth="1"/>
    <col min="168" max="212" width="9.42578125" style="48"/>
    <col min="213" max="16384" width="9.42578125" style="14"/>
  </cols>
  <sheetData>
    <row r="1" spans="1:212" s="13" customFormat="1" ht="6.75" customHeight="1" thickBot="1">
      <c r="A1" s="10"/>
      <c r="B1" s="88"/>
      <c r="C1" s="88"/>
      <c r="D1" s="88"/>
      <c r="E1" s="88"/>
      <c r="F1" s="88"/>
      <c r="G1" s="88"/>
      <c r="H1" s="88"/>
      <c r="I1" s="88"/>
      <c r="O1" s="21"/>
      <c r="P1" s="21"/>
      <c r="Q1" s="21"/>
      <c r="R1" s="21"/>
      <c r="S1" s="21"/>
      <c r="T1" s="21"/>
      <c r="U1" s="21"/>
      <c r="V1" s="21"/>
      <c r="W1" s="21"/>
      <c r="X1" s="21"/>
      <c r="CZ1" s="22"/>
      <c r="DA1" s="22"/>
      <c r="DB1" s="22"/>
      <c r="DC1" s="22"/>
      <c r="DD1" s="22"/>
      <c r="DE1" s="22"/>
      <c r="DF1" s="22"/>
      <c r="DG1" s="22"/>
      <c r="DH1" s="22"/>
      <c r="DI1" s="22"/>
      <c r="DJ1" s="22"/>
      <c r="DK1" s="23"/>
      <c r="FL1" s="49"/>
      <c r="FM1" s="49"/>
      <c r="FN1" s="49"/>
      <c r="FO1" s="49"/>
      <c r="FP1" s="49"/>
      <c r="FQ1" s="49"/>
      <c r="FR1" s="49"/>
      <c r="FS1" s="49"/>
      <c r="FT1" s="49"/>
      <c r="FU1" s="49"/>
      <c r="FV1" s="49"/>
      <c r="FW1" s="49"/>
      <c r="FX1" s="49"/>
      <c r="FY1" s="49"/>
      <c r="FZ1" s="49"/>
      <c r="GA1" s="49"/>
      <c r="GB1" s="49"/>
      <c r="GC1" s="49"/>
      <c r="GD1" s="49"/>
      <c r="GE1" s="49"/>
      <c r="GF1" s="49"/>
      <c r="GG1" s="49"/>
      <c r="GH1" s="49"/>
      <c r="GI1" s="49"/>
      <c r="GJ1" s="49"/>
      <c r="GK1" s="49"/>
      <c r="GL1" s="49"/>
      <c r="GM1" s="49"/>
      <c r="GN1" s="49"/>
      <c r="GO1" s="49"/>
      <c r="GP1" s="49"/>
      <c r="GQ1" s="49"/>
      <c r="GR1" s="49"/>
      <c r="GS1" s="49"/>
      <c r="GT1" s="49"/>
      <c r="GU1" s="49"/>
      <c r="GV1" s="49"/>
      <c r="GW1" s="49"/>
      <c r="GX1" s="49"/>
      <c r="GY1" s="49"/>
      <c r="GZ1" s="49"/>
      <c r="HA1" s="49"/>
      <c r="HB1" s="49"/>
      <c r="HC1" s="49"/>
      <c r="HD1" s="49"/>
    </row>
    <row r="2" spans="1:212" s="13" customFormat="1" ht="9" hidden="1" thickBot="1">
      <c r="A2" s="12" t="s">
        <v>0</v>
      </c>
      <c r="B2" s="88"/>
      <c r="C2" s="88"/>
      <c r="D2" s="88"/>
      <c r="E2" s="88"/>
      <c r="F2" s="88"/>
      <c r="G2" s="88"/>
      <c r="H2" s="88"/>
      <c r="I2" s="88"/>
      <c r="J2" s="89">
        <f>IF(J3=2021,10,(IF(J3=2017,6,(IF(J3=2018,7,(IF(J3=2019,8,(IF(J3=2020,9,"Error")))))))))</f>
        <v>10</v>
      </c>
      <c r="K2" s="89"/>
      <c r="L2" s="89"/>
      <c r="M2" s="89"/>
      <c r="N2" s="89"/>
      <c r="O2" s="89"/>
      <c r="P2" s="89"/>
      <c r="Q2" s="89"/>
      <c r="R2" s="89"/>
      <c r="BK2" s="89">
        <f>IF(BJ3=2016,5,(IF(BJ3=2017,6,(IF(BJ3=2018,7,(IF(BJ3=2019,8,(IF(BJ3=2022,11,"Error")))))))))</f>
        <v>11</v>
      </c>
      <c r="BL2" s="89"/>
      <c r="BM2" s="89"/>
      <c r="BN2" s="89"/>
      <c r="BO2" s="89"/>
      <c r="BP2" s="89"/>
      <c r="BQ2" s="89"/>
      <c r="BR2" s="89"/>
      <c r="BS2" s="89"/>
      <c r="DJ2" s="90">
        <f>IF(DJ3=2016,5,(IF(DJ3=2017,6,(IF(DJ3=2018,7,(IF(DJ3=2019,8,(IF(DJ3=2023,12,"Error")))))))))</f>
        <v>12</v>
      </c>
      <c r="DK2" s="90"/>
      <c r="DL2" s="90"/>
      <c r="DM2" s="90"/>
      <c r="DN2" s="90"/>
      <c r="DO2" s="90"/>
      <c r="DP2" s="90"/>
      <c r="DQ2" s="90"/>
      <c r="DR2" s="90"/>
      <c r="DS2" s="90"/>
      <c r="DT2" s="90"/>
      <c r="FL2" s="49"/>
      <c r="FM2" s="49"/>
      <c r="FN2" s="49"/>
      <c r="FO2" s="49"/>
      <c r="FP2" s="49"/>
      <c r="FQ2" s="49"/>
      <c r="FR2" s="49"/>
      <c r="FS2" s="49"/>
      <c r="FT2" s="49"/>
      <c r="FU2" s="49"/>
      <c r="FV2" s="49"/>
      <c r="FW2" s="49"/>
      <c r="FX2" s="49"/>
      <c r="FY2" s="49"/>
      <c r="FZ2" s="49"/>
      <c r="GA2" s="49"/>
      <c r="GB2" s="49"/>
      <c r="GC2" s="49"/>
      <c r="GD2" s="49"/>
      <c r="GE2" s="49"/>
      <c r="GF2" s="49"/>
      <c r="GG2" s="49"/>
      <c r="GH2" s="49"/>
      <c r="GI2" s="49"/>
      <c r="GJ2" s="49"/>
      <c r="GK2" s="49"/>
      <c r="GL2" s="49"/>
      <c r="GM2" s="49"/>
      <c r="GN2" s="49"/>
      <c r="GO2" s="49"/>
      <c r="GP2" s="49"/>
      <c r="GQ2" s="49"/>
      <c r="GR2" s="49"/>
      <c r="GS2" s="49"/>
      <c r="GT2" s="49"/>
      <c r="GU2" s="49"/>
      <c r="GV2" s="49"/>
      <c r="GW2" s="49"/>
      <c r="GX2" s="49"/>
      <c r="GY2" s="49"/>
      <c r="GZ2" s="49"/>
      <c r="HA2" s="49"/>
      <c r="HB2" s="49"/>
      <c r="HC2" s="49"/>
      <c r="HD2" s="49"/>
    </row>
    <row r="3" spans="1:212" s="11" customFormat="1" ht="15" customHeight="1" thickBot="1">
      <c r="A3" s="39" t="s">
        <v>1</v>
      </c>
      <c r="B3" s="91" t="s">
        <v>2</v>
      </c>
      <c r="C3" s="91"/>
      <c r="D3" s="91"/>
      <c r="E3" s="66"/>
      <c r="F3" s="66"/>
      <c r="G3" s="67"/>
      <c r="H3" s="66"/>
      <c r="I3" s="66"/>
      <c r="J3" s="92">
        <v>2021</v>
      </c>
      <c r="K3" s="93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93"/>
      <c r="Y3" s="93"/>
      <c r="Z3" s="93"/>
      <c r="AA3" s="93"/>
      <c r="AB3" s="93"/>
      <c r="AC3" s="93"/>
      <c r="AD3" s="93"/>
      <c r="AE3" s="93"/>
      <c r="AF3" s="93"/>
      <c r="AG3" s="93"/>
      <c r="AH3" s="93"/>
      <c r="AI3" s="93"/>
      <c r="AJ3" s="93"/>
      <c r="AK3" s="93"/>
      <c r="AL3" s="93"/>
      <c r="AM3" s="93"/>
      <c r="AN3" s="93"/>
      <c r="AO3" s="93"/>
      <c r="AP3" s="93"/>
      <c r="AQ3" s="93"/>
      <c r="AR3" s="93"/>
      <c r="AS3" s="93"/>
      <c r="AT3" s="93"/>
      <c r="AU3" s="93"/>
      <c r="AV3" s="93"/>
      <c r="AW3" s="93"/>
      <c r="AX3" s="93"/>
      <c r="AY3" s="93"/>
      <c r="AZ3" s="93"/>
      <c r="BA3" s="93"/>
      <c r="BB3" s="93"/>
      <c r="BC3" s="93"/>
      <c r="BD3" s="93"/>
      <c r="BE3" s="93"/>
      <c r="BF3" s="93"/>
      <c r="BG3" s="93"/>
      <c r="BH3" s="93"/>
      <c r="BI3" s="94"/>
      <c r="BJ3" s="92">
        <f>J3+1</f>
        <v>2022</v>
      </c>
      <c r="BK3" s="93"/>
      <c r="BL3" s="93"/>
      <c r="BM3" s="93"/>
      <c r="BN3" s="93"/>
      <c r="BO3" s="93"/>
      <c r="BP3" s="93"/>
      <c r="BQ3" s="93"/>
      <c r="BR3" s="93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  <c r="CS3" s="74"/>
      <c r="CT3" s="74"/>
      <c r="CU3" s="74"/>
      <c r="CV3" s="74"/>
      <c r="CW3" s="74"/>
      <c r="CX3" s="74"/>
      <c r="CY3" s="74"/>
      <c r="CZ3" s="74"/>
      <c r="DA3" s="74"/>
      <c r="DB3" s="74"/>
      <c r="DC3" s="74"/>
      <c r="DD3" s="74"/>
      <c r="DE3" s="74"/>
      <c r="DF3" s="74"/>
      <c r="DG3" s="74"/>
      <c r="DH3" s="74"/>
      <c r="DI3" s="75"/>
      <c r="DJ3" s="92">
        <f>BJ3+1</f>
        <v>2023</v>
      </c>
      <c r="DK3" s="93"/>
      <c r="DL3" s="93"/>
      <c r="DM3" s="93"/>
      <c r="DN3" s="93"/>
      <c r="DO3" s="93"/>
      <c r="DP3" s="93"/>
      <c r="DQ3" s="93"/>
      <c r="DR3" s="93"/>
      <c r="DS3" s="93"/>
      <c r="DT3" s="93"/>
      <c r="DU3" s="93"/>
      <c r="DV3" s="93"/>
      <c r="DW3" s="93"/>
      <c r="DX3" s="93"/>
      <c r="DY3" s="93"/>
      <c r="DZ3" s="93"/>
      <c r="EA3" s="93"/>
      <c r="EB3" s="93"/>
      <c r="EC3" s="93"/>
      <c r="ED3" s="93"/>
      <c r="EE3" s="93"/>
      <c r="EF3" s="93"/>
      <c r="EG3" s="93"/>
      <c r="EH3" s="93"/>
      <c r="EI3" s="93"/>
      <c r="EJ3" s="93"/>
      <c r="EK3" s="93"/>
      <c r="EL3" s="93"/>
      <c r="EM3" s="93"/>
      <c r="EN3" s="93"/>
      <c r="EO3" s="93"/>
      <c r="EP3" s="93"/>
      <c r="EQ3" s="93"/>
      <c r="ER3" s="93"/>
      <c r="ES3" s="93"/>
      <c r="ET3" s="93"/>
      <c r="EU3" s="93"/>
      <c r="EV3" s="93"/>
      <c r="EW3" s="93"/>
      <c r="EX3" s="93"/>
      <c r="EY3" s="93"/>
      <c r="EZ3" s="93"/>
      <c r="FA3" s="93"/>
      <c r="FB3" s="93"/>
      <c r="FC3" s="93"/>
      <c r="FD3" s="93"/>
      <c r="FE3" s="93"/>
      <c r="FF3" s="93"/>
      <c r="FG3" s="93"/>
      <c r="FH3" s="93"/>
      <c r="FI3" s="93"/>
      <c r="FJ3" s="94"/>
      <c r="FL3" s="50"/>
      <c r="FM3" s="50"/>
      <c r="FN3" s="50"/>
      <c r="FO3" s="50"/>
      <c r="FP3" s="50"/>
      <c r="FQ3" s="50"/>
      <c r="FR3" s="50"/>
      <c r="FS3" s="50"/>
      <c r="FT3" s="50"/>
      <c r="FU3" s="50"/>
      <c r="FV3" s="50"/>
      <c r="FW3" s="50"/>
      <c r="FX3" s="50"/>
      <c r="FY3" s="50"/>
      <c r="FZ3" s="50"/>
      <c r="GA3" s="50"/>
      <c r="GB3" s="50"/>
      <c r="GC3" s="50"/>
      <c r="GD3" s="50"/>
      <c r="GE3" s="50"/>
      <c r="GF3" s="50"/>
      <c r="GG3" s="50"/>
      <c r="GH3" s="50"/>
      <c r="GI3" s="50"/>
      <c r="GJ3" s="50"/>
      <c r="GK3" s="50"/>
      <c r="GL3" s="50"/>
      <c r="GM3" s="50"/>
      <c r="GN3" s="50"/>
      <c r="GO3" s="50"/>
      <c r="GP3" s="50"/>
      <c r="GQ3" s="50"/>
      <c r="GR3" s="50"/>
      <c r="GS3" s="50"/>
      <c r="GT3" s="50"/>
      <c r="GU3" s="50"/>
      <c r="GV3" s="50"/>
      <c r="GW3" s="50"/>
      <c r="GX3" s="50"/>
      <c r="GY3" s="50"/>
      <c r="GZ3" s="50"/>
      <c r="HA3" s="50"/>
      <c r="HB3" s="50"/>
      <c r="HC3" s="50"/>
      <c r="HD3" s="50"/>
    </row>
    <row r="4" spans="1:212" s="11" customFormat="1" ht="15" customHeight="1" thickBot="1">
      <c r="A4" s="39"/>
      <c r="B4" s="91"/>
      <c r="C4" s="91"/>
      <c r="D4" s="91"/>
      <c r="E4" s="66"/>
      <c r="F4" s="66"/>
      <c r="G4" s="67"/>
      <c r="H4" s="66"/>
      <c r="I4" s="66"/>
      <c r="J4" s="95" t="s">
        <v>3</v>
      </c>
      <c r="K4" s="96"/>
      <c r="L4" s="96"/>
      <c r="M4" s="96"/>
      <c r="N4" s="97"/>
      <c r="O4" s="95" t="s">
        <v>4</v>
      </c>
      <c r="P4" s="96"/>
      <c r="Q4" s="96"/>
      <c r="R4" s="97"/>
      <c r="S4" s="95" t="s">
        <v>5</v>
      </c>
      <c r="T4" s="96"/>
      <c r="U4" s="96"/>
      <c r="V4" s="97"/>
      <c r="W4" s="95" t="s">
        <v>6</v>
      </c>
      <c r="X4" s="96"/>
      <c r="Y4" s="96"/>
      <c r="Z4" s="96"/>
      <c r="AA4" s="97"/>
      <c r="AB4" s="95" t="s">
        <v>7</v>
      </c>
      <c r="AC4" s="96"/>
      <c r="AD4" s="96"/>
      <c r="AE4" s="97"/>
      <c r="AF4" s="95" t="s">
        <v>8</v>
      </c>
      <c r="AG4" s="96"/>
      <c r="AH4" s="96"/>
      <c r="AI4" s="97"/>
      <c r="AJ4" s="95" t="s">
        <v>9</v>
      </c>
      <c r="AK4" s="96"/>
      <c r="AL4" s="96"/>
      <c r="AM4" s="96"/>
      <c r="AN4" s="97"/>
      <c r="AO4" s="95" t="s">
        <v>10</v>
      </c>
      <c r="AP4" s="96"/>
      <c r="AQ4" s="96"/>
      <c r="AR4" s="97"/>
      <c r="AS4" s="95" t="s">
        <v>11</v>
      </c>
      <c r="AT4" s="96"/>
      <c r="AU4" s="96"/>
      <c r="AV4" s="97"/>
      <c r="AW4" s="95" t="s">
        <v>12</v>
      </c>
      <c r="AX4" s="96"/>
      <c r="AY4" s="96"/>
      <c r="AZ4" s="96"/>
      <c r="BA4" s="97"/>
      <c r="BB4" s="95" t="s">
        <v>13</v>
      </c>
      <c r="BC4" s="96"/>
      <c r="BD4" s="96"/>
      <c r="BE4" s="97"/>
      <c r="BF4" s="95" t="s">
        <v>14</v>
      </c>
      <c r="BG4" s="96"/>
      <c r="BH4" s="96"/>
      <c r="BI4" s="97"/>
      <c r="BJ4" s="95" t="s">
        <v>3</v>
      </c>
      <c r="BK4" s="96"/>
      <c r="BL4" s="96"/>
      <c r="BM4" s="96"/>
      <c r="BN4" s="97"/>
      <c r="BO4" s="95" t="s">
        <v>4</v>
      </c>
      <c r="BP4" s="96"/>
      <c r="BQ4" s="96"/>
      <c r="BR4" s="97"/>
      <c r="BS4" s="95" t="s">
        <v>5</v>
      </c>
      <c r="BT4" s="96"/>
      <c r="BU4" s="96"/>
      <c r="BV4" s="97"/>
      <c r="BW4" s="95" t="s">
        <v>15</v>
      </c>
      <c r="BX4" s="96"/>
      <c r="BY4" s="96"/>
      <c r="BZ4" s="96"/>
      <c r="CA4" s="97"/>
      <c r="CB4" s="95" t="s">
        <v>7</v>
      </c>
      <c r="CC4" s="96"/>
      <c r="CD4" s="96"/>
      <c r="CE4" s="97"/>
      <c r="CF4" s="95" t="s">
        <v>8</v>
      </c>
      <c r="CG4" s="96"/>
      <c r="CH4" s="96"/>
      <c r="CI4" s="97"/>
      <c r="CJ4" s="95" t="s">
        <v>9</v>
      </c>
      <c r="CK4" s="96"/>
      <c r="CL4" s="96"/>
      <c r="CM4" s="96"/>
      <c r="CN4" s="97"/>
      <c r="CO4" s="95" t="s">
        <v>10</v>
      </c>
      <c r="CP4" s="96"/>
      <c r="CQ4" s="96"/>
      <c r="CR4" s="97"/>
      <c r="CS4" s="95" t="s">
        <v>11</v>
      </c>
      <c r="CT4" s="96"/>
      <c r="CU4" s="96"/>
      <c r="CV4" s="96"/>
      <c r="CW4" s="97"/>
      <c r="CX4" s="95" t="s">
        <v>12</v>
      </c>
      <c r="CY4" s="96"/>
      <c r="CZ4" s="96"/>
      <c r="DA4" s="97"/>
      <c r="DB4" s="95" t="s">
        <v>13</v>
      </c>
      <c r="DC4" s="96"/>
      <c r="DD4" s="96"/>
      <c r="DE4" s="97"/>
      <c r="DF4" s="95" t="s">
        <v>16</v>
      </c>
      <c r="DG4" s="96"/>
      <c r="DH4" s="96"/>
      <c r="DI4" s="97"/>
      <c r="DJ4" s="95" t="s">
        <v>3</v>
      </c>
      <c r="DK4" s="96"/>
      <c r="DL4" s="96"/>
      <c r="DM4" s="96"/>
      <c r="DN4" s="97"/>
      <c r="DO4" s="95" t="s">
        <v>4</v>
      </c>
      <c r="DP4" s="96"/>
      <c r="DQ4" s="96"/>
      <c r="DR4" s="97"/>
      <c r="DS4" s="95" t="s">
        <v>5</v>
      </c>
      <c r="DT4" s="96"/>
      <c r="DU4" s="96"/>
      <c r="DV4" s="96"/>
      <c r="DW4" s="96"/>
      <c r="DX4" s="95" t="s">
        <v>15</v>
      </c>
      <c r="DY4" s="96"/>
      <c r="DZ4" s="96"/>
      <c r="EA4" s="97"/>
      <c r="EB4" s="95" t="s">
        <v>7</v>
      </c>
      <c r="EC4" s="96"/>
      <c r="ED4" s="96"/>
      <c r="EE4" s="96"/>
      <c r="EF4" s="96"/>
      <c r="EG4" s="95" t="s">
        <v>8</v>
      </c>
      <c r="EH4" s="96"/>
      <c r="EI4" s="96"/>
      <c r="EJ4" s="96"/>
      <c r="EK4" s="95" t="s">
        <v>9</v>
      </c>
      <c r="EL4" s="96"/>
      <c r="EM4" s="96"/>
      <c r="EN4" s="97"/>
      <c r="EO4" s="95" t="s">
        <v>10</v>
      </c>
      <c r="EP4" s="96"/>
      <c r="EQ4" s="96"/>
      <c r="ER4" s="96"/>
      <c r="ES4" s="96"/>
      <c r="ET4" s="95" t="s">
        <v>11</v>
      </c>
      <c r="EU4" s="96"/>
      <c r="EV4" s="96"/>
      <c r="EW4" s="97"/>
      <c r="EX4" s="95" t="s">
        <v>12</v>
      </c>
      <c r="EY4" s="96"/>
      <c r="EZ4" s="96"/>
      <c r="FA4" s="97"/>
      <c r="FB4" s="95" t="s">
        <v>13</v>
      </c>
      <c r="FC4" s="96"/>
      <c r="FD4" s="96"/>
      <c r="FE4" s="97"/>
      <c r="FF4" s="95" t="s">
        <v>16</v>
      </c>
      <c r="FG4" s="96"/>
      <c r="FH4" s="96"/>
      <c r="FI4" s="96"/>
      <c r="FJ4" s="97"/>
      <c r="FL4" s="50"/>
      <c r="FM4" s="50"/>
      <c r="FN4" s="50"/>
      <c r="FO4" s="50"/>
      <c r="FP4" s="50"/>
      <c r="FQ4" s="50"/>
      <c r="FR4" s="50"/>
      <c r="FS4" s="50"/>
      <c r="FT4" s="50"/>
      <c r="FU4" s="50"/>
      <c r="FV4" s="50"/>
      <c r="FW4" s="50"/>
      <c r="FX4" s="50"/>
      <c r="FY4" s="50"/>
      <c r="FZ4" s="50"/>
      <c r="GA4" s="50"/>
      <c r="GB4" s="50"/>
      <c r="GC4" s="50"/>
      <c r="GD4" s="50"/>
      <c r="GE4" s="50"/>
      <c r="GF4" s="50"/>
      <c r="GG4" s="50"/>
      <c r="GH4" s="50"/>
      <c r="GI4" s="50"/>
      <c r="GJ4" s="50"/>
      <c r="GK4" s="50"/>
      <c r="GL4" s="50"/>
      <c r="GM4" s="50"/>
      <c r="GN4" s="50"/>
      <c r="GO4" s="50"/>
      <c r="GP4" s="50"/>
      <c r="GQ4" s="50"/>
      <c r="GR4" s="50"/>
      <c r="GS4" s="50"/>
      <c r="GT4" s="50"/>
      <c r="GU4" s="50"/>
      <c r="GV4" s="50"/>
      <c r="GW4" s="50"/>
      <c r="GX4" s="50"/>
      <c r="GY4" s="50"/>
      <c r="GZ4" s="50"/>
      <c r="HA4" s="50"/>
      <c r="HB4" s="50"/>
      <c r="HC4" s="50"/>
      <c r="HD4" s="50"/>
    </row>
    <row r="5" spans="1:212" s="12" customFormat="1" ht="15" customHeight="1" thickBot="1">
      <c r="A5" s="39" t="s">
        <v>17</v>
      </c>
      <c r="B5" s="91"/>
      <c r="C5" s="91"/>
      <c r="D5" s="91"/>
      <c r="E5" s="68" t="s">
        <v>18</v>
      </c>
      <c r="F5" s="68" t="s">
        <v>19</v>
      </c>
      <c r="G5" s="69" t="s">
        <v>20</v>
      </c>
      <c r="H5" s="68" t="s">
        <v>21</v>
      </c>
      <c r="I5" s="68" t="s">
        <v>22</v>
      </c>
      <c r="J5" s="56">
        <v>1</v>
      </c>
      <c r="K5" s="56">
        <v>2</v>
      </c>
      <c r="L5" s="56">
        <v>3</v>
      </c>
      <c r="M5" s="56">
        <v>4</v>
      </c>
      <c r="N5" s="56">
        <v>5</v>
      </c>
      <c r="O5" s="56">
        <v>6</v>
      </c>
      <c r="P5" s="56">
        <v>7</v>
      </c>
      <c r="Q5" s="56">
        <v>8</v>
      </c>
      <c r="R5" s="56">
        <v>9</v>
      </c>
      <c r="S5" s="73">
        <v>10</v>
      </c>
      <c r="T5" s="73">
        <v>11</v>
      </c>
      <c r="U5" s="73">
        <v>12</v>
      </c>
      <c r="V5" s="73">
        <v>13</v>
      </c>
      <c r="W5" s="73">
        <v>14</v>
      </c>
      <c r="X5" s="73">
        <v>15</v>
      </c>
      <c r="Y5" s="73">
        <v>16</v>
      </c>
      <c r="Z5" s="73">
        <v>17</v>
      </c>
      <c r="AA5" s="73">
        <v>18</v>
      </c>
      <c r="AB5" s="73">
        <v>19</v>
      </c>
      <c r="AC5" s="73">
        <v>20</v>
      </c>
      <c r="AD5" s="73">
        <v>21</v>
      </c>
      <c r="AE5" s="73">
        <v>22</v>
      </c>
      <c r="AF5" s="73">
        <v>23</v>
      </c>
      <c r="AG5" s="73">
        <v>24</v>
      </c>
      <c r="AH5" s="73">
        <v>25</v>
      </c>
      <c r="AI5" s="73">
        <v>26</v>
      </c>
      <c r="AJ5" s="73">
        <v>27</v>
      </c>
      <c r="AK5" s="73">
        <v>28</v>
      </c>
      <c r="AL5" s="73">
        <v>29</v>
      </c>
      <c r="AM5" s="73">
        <v>30</v>
      </c>
      <c r="AN5" s="73">
        <v>31</v>
      </c>
      <c r="AO5" s="73">
        <v>32</v>
      </c>
      <c r="AP5" s="73">
        <v>33</v>
      </c>
      <c r="AQ5" s="73">
        <v>34</v>
      </c>
      <c r="AR5" s="73">
        <v>35</v>
      </c>
      <c r="AS5" s="73">
        <v>36</v>
      </c>
      <c r="AT5" s="73">
        <v>37</v>
      </c>
      <c r="AU5" s="73">
        <v>38</v>
      </c>
      <c r="AV5" s="73">
        <v>39</v>
      </c>
      <c r="AW5" s="73">
        <v>40</v>
      </c>
      <c r="AX5" s="73">
        <v>41</v>
      </c>
      <c r="AY5" s="73">
        <v>42</v>
      </c>
      <c r="AZ5" s="73">
        <v>43</v>
      </c>
      <c r="BA5" s="73">
        <v>44</v>
      </c>
      <c r="BB5" s="73">
        <v>45</v>
      </c>
      <c r="BC5" s="73">
        <v>46</v>
      </c>
      <c r="BD5" s="73">
        <v>47</v>
      </c>
      <c r="BE5" s="73">
        <v>48</v>
      </c>
      <c r="BF5" s="73">
        <v>49</v>
      </c>
      <c r="BG5" s="73">
        <v>50</v>
      </c>
      <c r="BH5" s="73">
        <v>51</v>
      </c>
      <c r="BI5" s="73">
        <v>52</v>
      </c>
      <c r="BJ5" s="56">
        <v>1</v>
      </c>
      <c r="BK5" s="56">
        <v>2</v>
      </c>
      <c r="BL5" s="56">
        <v>3</v>
      </c>
      <c r="BM5" s="56">
        <v>4</v>
      </c>
      <c r="BN5" s="56">
        <v>5</v>
      </c>
      <c r="BO5" s="56">
        <v>6</v>
      </c>
      <c r="BP5" s="56">
        <v>7</v>
      </c>
      <c r="BQ5" s="56">
        <v>8</v>
      </c>
      <c r="BR5" s="73">
        <v>9</v>
      </c>
      <c r="BS5" s="73">
        <v>10</v>
      </c>
      <c r="BT5" s="73">
        <v>11</v>
      </c>
      <c r="BU5" s="73">
        <v>12</v>
      </c>
      <c r="BV5" s="73">
        <v>13</v>
      </c>
      <c r="BW5" s="73">
        <v>14</v>
      </c>
      <c r="BX5" s="73">
        <v>15</v>
      </c>
      <c r="BY5" s="73">
        <v>16</v>
      </c>
      <c r="BZ5" s="73">
        <v>17</v>
      </c>
      <c r="CA5" s="73">
        <v>18</v>
      </c>
      <c r="CB5" s="73">
        <v>19</v>
      </c>
      <c r="CC5" s="73">
        <v>20</v>
      </c>
      <c r="CD5" s="73">
        <v>21</v>
      </c>
      <c r="CE5" s="73">
        <v>22</v>
      </c>
      <c r="CF5" s="73">
        <v>23</v>
      </c>
      <c r="CG5" s="73">
        <v>24</v>
      </c>
      <c r="CH5" s="73">
        <v>25</v>
      </c>
      <c r="CI5" s="73">
        <v>26</v>
      </c>
      <c r="CJ5" s="73">
        <v>27</v>
      </c>
      <c r="CK5" s="73">
        <v>28</v>
      </c>
      <c r="CL5" s="73">
        <v>29</v>
      </c>
      <c r="CM5" s="73">
        <v>30</v>
      </c>
      <c r="CN5" s="73">
        <v>31</v>
      </c>
      <c r="CO5" s="73">
        <v>32</v>
      </c>
      <c r="CP5" s="73">
        <v>33</v>
      </c>
      <c r="CQ5" s="73">
        <v>34</v>
      </c>
      <c r="CR5" s="73">
        <v>35</v>
      </c>
      <c r="CS5" s="73">
        <v>36</v>
      </c>
      <c r="CT5" s="73">
        <v>37</v>
      </c>
      <c r="CU5" s="73">
        <v>38</v>
      </c>
      <c r="CV5" s="73">
        <v>39</v>
      </c>
      <c r="CW5" s="73">
        <v>40</v>
      </c>
      <c r="CX5" s="73">
        <v>41</v>
      </c>
      <c r="CY5" s="73">
        <v>42</v>
      </c>
      <c r="CZ5" s="73">
        <v>43</v>
      </c>
      <c r="DA5" s="73">
        <v>44</v>
      </c>
      <c r="DB5" s="73">
        <v>45</v>
      </c>
      <c r="DC5" s="73">
        <v>46</v>
      </c>
      <c r="DD5" s="73">
        <v>47</v>
      </c>
      <c r="DE5" s="73">
        <v>48</v>
      </c>
      <c r="DF5" s="73">
        <v>49</v>
      </c>
      <c r="DG5" s="73">
        <v>50</v>
      </c>
      <c r="DH5" s="73">
        <v>51</v>
      </c>
      <c r="DI5" s="73">
        <v>52</v>
      </c>
      <c r="DJ5" s="56">
        <v>1</v>
      </c>
      <c r="DK5" s="56">
        <v>2</v>
      </c>
      <c r="DL5" s="56">
        <v>3</v>
      </c>
      <c r="DM5" s="56">
        <v>4</v>
      </c>
      <c r="DN5" s="56">
        <v>5</v>
      </c>
      <c r="DO5" s="56">
        <v>6</v>
      </c>
      <c r="DP5" s="56">
        <v>7</v>
      </c>
      <c r="DQ5" s="56">
        <v>8</v>
      </c>
      <c r="DR5" s="73">
        <v>9</v>
      </c>
      <c r="DS5" s="73">
        <v>10</v>
      </c>
      <c r="DT5" s="73">
        <v>11</v>
      </c>
      <c r="DU5" s="73">
        <v>12</v>
      </c>
      <c r="DV5" s="73">
        <v>13</v>
      </c>
      <c r="DW5" s="73">
        <v>14</v>
      </c>
      <c r="DX5" s="73">
        <v>15</v>
      </c>
      <c r="DY5" s="73">
        <v>16</v>
      </c>
      <c r="DZ5" s="73">
        <v>17</v>
      </c>
      <c r="EA5" s="73">
        <v>18</v>
      </c>
      <c r="EB5" s="73">
        <v>19</v>
      </c>
      <c r="EC5" s="73">
        <v>20</v>
      </c>
      <c r="ED5" s="73">
        <v>21</v>
      </c>
      <c r="EE5" s="73">
        <v>22</v>
      </c>
      <c r="EF5" s="73">
        <v>23</v>
      </c>
      <c r="EG5" s="73">
        <v>24</v>
      </c>
      <c r="EH5" s="73">
        <v>25</v>
      </c>
      <c r="EI5" s="73">
        <v>26</v>
      </c>
      <c r="EJ5" s="73">
        <v>27</v>
      </c>
      <c r="EK5" s="73">
        <v>28</v>
      </c>
      <c r="EL5" s="73">
        <v>29</v>
      </c>
      <c r="EM5" s="73">
        <v>30</v>
      </c>
      <c r="EN5" s="73">
        <v>31</v>
      </c>
      <c r="EO5" s="73">
        <v>32</v>
      </c>
      <c r="EP5" s="73">
        <v>33</v>
      </c>
      <c r="EQ5" s="73">
        <v>34</v>
      </c>
      <c r="ER5" s="73">
        <v>35</v>
      </c>
      <c r="ES5" s="73">
        <v>36</v>
      </c>
      <c r="ET5" s="73">
        <v>37</v>
      </c>
      <c r="EU5" s="73">
        <v>38</v>
      </c>
      <c r="EV5" s="73">
        <v>39</v>
      </c>
      <c r="EW5" s="73">
        <v>40</v>
      </c>
      <c r="EX5" s="73">
        <v>41</v>
      </c>
      <c r="EY5" s="73">
        <v>42</v>
      </c>
      <c r="EZ5" s="73">
        <v>43</v>
      </c>
      <c r="FA5" s="73">
        <v>44</v>
      </c>
      <c r="FB5" s="73">
        <v>45</v>
      </c>
      <c r="FC5" s="73">
        <v>46</v>
      </c>
      <c r="FD5" s="73">
        <v>47</v>
      </c>
      <c r="FE5" s="73">
        <v>48</v>
      </c>
      <c r="FF5" s="73">
        <v>49</v>
      </c>
      <c r="FG5" s="73">
        <v>50</v>
      </c>
      <c r="FH5" s="73">
        <v>51</v>
      </c>
      <c r="FI5" s="73">
        <v>52</v>
      </c>
      <c r="FJ5" s="73"/>
      <c r="FL5" s="51"/>
      <c r="FM5" s="51"/>
      <c r="FN5" s="51"/>
      <c r="FO5" s="51"/>
      <c r="FP5" s="51"/>
      <c r="FQ5" s="51"/>
      <c r="FR5" s="51"/>
      <c r="FS5" s="51"/>
      <c r="FT5" s="51"/>
      <c r="FU5" s="51"/>
      <c r="FV5" s="51"/>
      <c r="FW5" s="51"/>
      <c r="FX5" s="51"/>
      <c r="FY5" s="51"/>
      <c r="FZ5" s="51"/>
      <c r="GA5" s="51"/>
      <c r="GB5" s="51"/>
      <c r="GC5" s="51"/>
      <c r="GD5" s="51"/>
      <c r="GE5" s="51"/>
      <c r="GF5" s="51"/>
      <c r="GG5" s="51"/>
      <c r="GH5" s="51"/>
      <c r="GI5" s="51"/>
      <c r="GJ5" s="51"/>
      <c r="GK5" s="51"/>
      <c r="GL5" s="51"/>
      <c r="GM5" s="51"/>
      <c r="GN5" s="51"/>
      <c r="GO5" s="51"/>
      <c r="GP5" s="51"/>
      <c r="GQ5" s="51"/>
      <c r="GR5" s="51"/>
      <c r="GS5" s="51"/>
      <c r="GT5" s="51"/>
      <c r="GU5" s="51"/>
      <c r="GV5" s="51"/>
      <c r="GW5" s="51"/>
      <c r="GX5" s="51"/>
      <c r="GY5" s="51"/>
      <c r="GZ5" s="51"/>
      <c r="HA5" s="51"/>
      <c r="HB5" s="51"/>
      <c r="HC5" s="51"/>
      <c r="HD5" s="51"/>
    </row>
    <row r="6" spans="1:212" s="23" customFormat="1" ht="9" hidden="1">
      <c r="A6" s="12"/>
      <c r="G6" s="57"/>
      <c r="J6" s="25">
        <v>1</v>
      </c>
      <c r="K6" s="25">
        <v>2</v>
      </c>
      <c r="L6" s="25">
        <v>3</v>
      </c>
      <c r="M6" s="25">
        <v>4</v>
      </c>
      <c r="N6" s="25">
        <v>5</v>
      </c>
      <c r="O6" s="25">
        <v>6</v>
      </c>
      <c r="P6" s="25">
        <v>7</v>
      </c>
      <c r="Q6" s="25">
        <v>8</v>
      </c>
      <c r="R6" s="25">
        <v>9</v>
      </c>
      <c r="S6" s="25">
        <v>10</v>
      </c>
      <c r="T6" s="25">
        <v>11</v>
      </c>
      <c r="U6" s="25">
        <v>12</v>
      </c>
      <c r="V6" s="25">
        <v>13</v>
      </c>
      <c r="W6" s="25">
        <v>14</v>
      </c>
      <c r="X6" s="25">
        <v>15</v>
      </c>
      <c r="Y6" s="25">
        <v>16</v>
      </c>
      <c r="Z6" s="25">
        <v>17</v>
      </c>
      <c r="AA6" s="25">
        <v>18</v>
      </c>
      <c r="AB6" s="25">
        <v>19</v>
      </c>
      <c r="AC6" s="25">
        <v>20</v>
      </c>
      <c r="AD6" s="25">
        <v>21</v>
      </c>
      <c r="AE6" s="25">
        <v>22</v>
      </c>
      <c r="AF6" s="25">
        <v>23</v>
      </c>
      <c r="AG6" s="25">
        <v>24</v>
      </c>
      <c r="AH6" s="25">
        <v>25</v>
      </c>
      <c r="AI6" s="25">
        <v>26</v>
      </c>
      <c r="AJ6" s="25">
        <v>27</v>
      </c>
      <c r="AK6" s="25">
        <v>28</v>
      </c>
      <c r="AL6" s="25">
        <v>29</v>
      </c>
      <c r="AM6" s="25">
        <v>30</v>
      </c>
      <c r="AN6" s="25">
        <v>31</v>
      </c>
      <c r="AO6" s="25">
        <v>32</v>
      </c>
      <c r="AP6" s="25">
        <v>33</v>
      </c>
      <c r="AQ6" s="25">
        <v>34</v>
      </c>
      <c r="AR6" s="25">
        <v>35</v>
      </c>
      <c r="AS6" s="25">
        <v>36</v>
      </c>
      <c r="AT6" s="25">
        <v>37</v>
      </c>
      <c r="AU6" s="25">
        <v>38</v>
      </c>
      <c r="AV6" s="25">
        <v>39</v>
      </c>
      <c r="AW6" s="25">
        <v>40</v>
      </c>
      <c r="AX6" s="25">
        <v>41</v>
      </c>
      <c r="AY6" s="25">
        <v>42</v>
      </c>
      <c r="AZ6" s="25">
        <v>43</v>
      </c>
      <c r="BA6" s="25">
        <v>44</v>
      </c>
      <c r="BB6" s="25">
        <v>45</v>
      </c>
      <c r="BC6" s="25">
        <v>46</v>
      </c>
      <c r="BD6" s="25">
        <v>47</v>
      </c>
      <c r="BE6" s="25">
        <v>48</v>
      </c>
      <c r="BF6" s="25">
        <v>49</v>
      </c>
      <c r="BG6" s="25">
        <v>50</v>
      </c>
      <c r="BH6" s="25">
        <v>51</v>
      </c>
      <c r="BI6" s="25">
        <v>52</v>
      </c>
      <c r="BJ6" s="25">
        <v>1</v>
      </c>
      <c r="BK6" s="25">
        <v>2</v>
      </c>
      <c r="BL6" s="25">
        <v>3</v>
      </c>
      <c r="BM6" s="25">
        <v>4</v>
      </c>
      <c r="BN6" s="25">
        <v>5</v>
      </c>
      <c r="BO6" s="25">
        <v>6</v>
      </c>
      <c r="BP6" s="25">
        <v>7</v>
      </c>
      <c r="BQ6" s="25">
        <v>8</v>
      </c>
      <c r="BR6" s="25">
        <v>9</v>
      </c>
      <c r="BS6" s="25">
        <v>10</v>
      </c>
      <c r="BT6" s="25">
        <v>11</v>
      </c>
      <c r="BU6" s="25">
        <v>12</v>
      </c>
      <c r="BV6" s="25">
        <v>13</v>
      </c>
      <c r="BW6" s="25">
        <v>14</v>
      </c>
      <c r="BX6" s="25">
        <v>15</v>
      </c>
      <c r="BY6" s="25">
        <v>16</v>
      </c>
      <c r="BZ6" s="25">
        <v>17</v>
      </c>
      <c r="CA6" s="25">
        <v>18</v>
      </c>
      <c r="CB6" s="25">
        <v>19</v>
      </c>
      <c r="CC6" s="25">
        <v>20</v>
      </c>
      <c r="CD6" s="25">
        <v>21</v>
      </c>
      <c r="CE6" s="25">
        <v>22</v>
      </c>
      <c r="CF6" s="25">
        <v>23</v>
      </c>
      <c r="CG6" s="25">
        <v>24</v>
      </c>
      <c r="CH6" s="25">
        <v>25</v>
      </c>
      <c r="CI6" s="25">
        <v>26</v>
      </c>
      <c r="CJ6" s="25">
        <v>27</v>
      </c>
      <c r="CK6" s="25">
        <v>28</v>
      </c>
      <c r="CL6" s="25">
        <v>29</v>
      </c>
      <c r="CM6" s="25">
        <v>30</v>
      </c>
      <c r="CN6" s="25">
        <v>31</v>
      </c>
      <c r="CO6" s="25">
        <v>32</v>
      </c>
      <c r="CP6" s="25">
        <v>33</v>
      </c>
      <c r="CQ6" s="25">
        <v>34</v>
      </c>
      <c r="CR6" s="25">
        <v>35</v>
      </c>
      <c r="CS6" s="25">
        <v>36</v>
      </c>
      <c r="CT6" s="25">
        <v>37</v>
      </c>
      <c r="CU6" s="25">
        <v>38</v>
      </c>
      <c r="CV6" s="25">
        <v>39</v>
      </c>
      <c r="CW6" s="25">
        <v>40</v>
      </c>
      <c r="CX6" s="25">
        <v>41</v>
      </c>
      <c r="CY6" s="25">
        <v>42</v>
      </c>
      <c r="CZ6" s="25">
        <v>43</v>
      </c>
      <c r="DA6" s="25">
        <v>44</v>
      </c>
      <c r="DB6" s="25">
        <v>45</v>
      </c>
      <c r="DC6" s="25">
        <v>46</v>
      </c>
      <c r="DD6" s="25">
        <v>47</v>
      </c>
      <c r="DE6" s="25">
        <v>48</v>
      </c>
      <c r="DF6" s="25">
        <v>49</v>
      </c>
      <c r="DG6" s="25">
        <v>50</v>
      </c>
      <c r="DH6" s="25">
        <v>51</v>
      </c>
      <c r="DI6" s="25">
        <v>52</v>
      </c>
      <c r="DJ6" s="25">
        <v>1</v>
      </c>
      <c r="DK6" s="25">
        <v>2</v>
      </c>
      <c r="DL6" s="25">
        <v>3</v>
      </c>
      <c r="DM6" s="25">
        <v>4</v>
      </c>
      <c r="DN6" s="25">
        <v>5</v>
      </c>
      <c r="DO6" s="25">
        <v>6</v>
      </c>
      <c r="DP6" s="25">
        <v>7</v>
      </c>
      <c r="DQ6" s="25">
        <v>8</v>
      </c>
      <c r="DR6" s="25">
        <v>9</v>
      </c>
      <c r="DS6" s="25">
        <v>10</v>
      </c>
      <c r="DT6" s="25">
        <v>11</v>
      </c>
      <c r="DU6" s="25">
        <v>12</v>
      </c>
      <c r="DV6" s="25">
        <v>13</v>
      </c>
      <c r="DW6" s="25">
        <v>14</v>
      </c>
      <c r="DX6" s="25">
        <v>15</v>
      </c>
      <c r="DY6" s="25">
        <v>16</v>
      </c>
      <c r="DZ6" s="25">
        <v>17</v>
      </c>
      <c r="EA6" s="25">
        <v>18</v>
      </c>
      <c r="EB6" s="25">
        <v>19</v>
      </c>
      <c r="EC6" s="25">
        <v>20</v>
      </c>
      <c r="ED6" s="25">
        <v>21</v>
      </c>
      <c r="EE6" s="25">
        <v>22</v>
      </c>
      <c r="EF6" s="25">
        <v>23</v>
      </c>
      <c r="EG6" s="25">
        <v>24</v>
      </c>
      <c r="EH6" s="25">
        <v>25</v>
      </c>
      <c r="EI6" s="25">
        <v>26</v>
      </c>
      <c r="EJ6" s="25">
        <v>27</v>
      </c>
      <c r="EK6" s="25">
        <v>28</v>
      </c>
      <c r="EL6" s="25">
        <v>29</v>
      </c>
      <c r="EM6" s="25">
        <v>30</v>
      </c>
      <c r="EN6" s="25">
        <v>31</v>
      </c>
      <c r="EO6" s="25">
        <v>32</v>
      </c>
      <c r="EP6" s="25">
        <v>33</v>
      </c>
      <c r="EQ6" s="25">
        <v>34</v>
      </c>
      <c r="ER6" s="25">
        <v>35</v>
      </c>
      <c r="ES6" s="25">
        <v>36</v>
      </c>
      <c r="ET6" s="25">
        <v>37</v>
      </c>
      <c r="EU6" s="25">
        <v>38</v>
      </c>
      <c r="EV6" s="25">
        <v>39</v>
      </c>
      <c r="EW6" s="25">
        <v>40</v>
      </c>
      <c r="EX6" s="25">
        <v>41</v>
      </c>
      <c r="EY6" s="25">
        <v>42</v>
      </c>
      <c r="EZ6" s="25">
        <v>43</v>
      </c>
      <c r="FA6" s="25">
        <v>44</v>
      </c>
      <c r="FB6" s="25">
        <v>45</v>
      </c>
      <c r="FC6" s="25">
        <v>46</v>
      </c>
      <c r="FD6" s="25">
        <v>47</v>
      </c>
      <c r="FE6" s="25">
        <v>48</v>
      </c>
      <c r="FF6" s="25">
        <v>49</v>
      </c>
      <c r="FG6" s="25">
        <v>50</v>
      </c>
      <c r="FH6" s="25">
        <v>51</v>
      </c>
      <c r="FI6" s="25">
        <v>52</v>
      </c>
      <c r="FJ6" s="26"/>
      <c r="FK6" s="12"/>
      <c r="FL6" s="52"/>
      <c r="FM6" s="52"/>
      <c r="FN6" s="52"/>
      <c r="FO6" s="52"/>
      <c r="FP6" s="52"/>
      <c r="FQ6" s="52"/>
      <c r="FR6" s="52"/>
      <c r="FS6" s="52"/>
      <c r="FT6" s="52"/>
      <c r="FU6" s="52"/>
      <c r="FV6" s="52"/>
      <c r="FW6" s="52"/>
      <c r="FX6" s="52"/>
      <c r="FY6" s="52"/>
      <c r="FZ6" s="52"/>
      <c r="GA6" s="52"/>
      <c r="GB6" s="52"/>
      <c r="GC6" s="52"/>
      <c r="GD6" s="52"/>
      <c r="GE6" s="52"/>
      <c r="GF6" s="52"/>
      <c r="GG6" s="52"/>
      <c r="GH6" s="52"/>
      <c r="GI6" s="52"/>
      <c r="GJ6" s="52"/>
      <c r="GK6" s="52"/>
      <c r="GL6" s="52"/>
      <c r="GM6" s="52"/>
      <c r="GN6" s="52"/>
      <c r="GO6" s="52"/>
      <c r="GP6" s="52"/>
      <c r="GQ6" s="52"/>
      <c r="GR6" s="52"/>
      <c r="GS6" s="52"/>
      <c r="GT6" s="52"/>
      <c r="GU6" s="52"/>
      <c r="GV6" s="52"/>
      <c r="GW6" s="52"/>
      <c r="GX6" s="52"/>
      <c r="GY6" s="52"/>
      <c r="GZ6" s="52"/>
      <c r="HA6" s="52"/>
      <c r="HB6" s="52"/>
      <c r="HC6" s="52"/>
      <c r="HD6" s="52"/>
    </row>
    <row r="7" spans="1:212" s="13" customFormat="1" ht="8.25" hidden="1">
      <c r="D7" s="23"/>
      <c r="G7" s="57"/>
      <c r="J7" s="18">
        <v>1</v>
      </c>
      <c r="K7" s="18">
        <v>1</v>
      </c>
      <c r="L7" s="18">
        <v>1</v>
      </c>
      <c r="M7" s="18">
        <v>1</v>
      </c>
      <c r="N7" s="18">
        <v>1</v>
      </c>
      <c r="O7" s="18">
        <v>1</v>
      </c>
      <c r="P7" s="18">
        <v>1</v>
      </c>
      <c r="Q7" s="18">
        <v>1</v>
      </c>
      <c r="R7" s="18">
        <v>1</v>
      </c>
      <c r="S7" s="18">
        <v>1</v>
      </c>
      <c r="T7" s="18">
        <v>1</v>
      </c>
      <c r="U7" s="18">
        <v>1</v>
      </c>
      <c r="V7" s="18">
        <v>1</v>
      </c>
      <c r="W7" s="18">
        <v>1</v>
      </c>
      <c r="X7" s="18">
        <v>1</v>
      </c>
      <c r="Y7" s="18">
        <v>1</v>
      </c>
      <c r="Z7" s="18">
        <v>1</v>
      </c>
      <c r="AA7" s="18">
        <v>1</v>
      </c>
      <c r="AB7" s="18">
        <v>1</v>
      </c>
      <c r="AC7" s="18">
        <v>1</v>
      </c>
      <c r="AD7" s="18">
        <v>1</v>
      </c>
      <c r="AE7" s="18">
        <v>1</v>
      </c>
      <c r="AF7" s="18">
        <v>1</v>
      </c>
      <c r="AG7" s="18">
        <v>1</v>
      </c>
      <c r="AH7" s="18">
        <v>1</v>
      </c>
      <c r="AI7" s="18">
        <v>1</v>
      </c>
      <c r="AJ7" s="18">
        <v>1</v>
      </c>
      <c r="AK7" s="18">
        <v>1</v>
      </c>
      <c r="AL7" s="18">
        <v>1</v>
      </c>
      <c r="AM7" s="18">
        <v>1</v>
      </c>
      <c r="AN7" s="18">
        <v>1</v>
      </c>
      <c r="AO7" s="18">
        <v>1</v>
      </c>
      <c r="AP7" s="18">
        <v>1</v>
      </c>
      <c r="AQ7" s="18">
        <v>1</v>
      </c>
      <c r="AR7" s="18">
        <v>1</v>
      </c>
      <c r="AS7" s="18">
        <v>1</v>
      </c>
      <c r="AT7" s="18">
        <v>1</v>
      </c>
      <c r="AU7" s="18">
        <v>1</v>
      </c>
      <c r="AV7" s="18">
        <v>1</v>
      </c>
      <c r="AW7" s="18">
        <v>1</v>
      </c>
      <c r="AX7" s="18">
        <v>1</v>
      </c>
      <c r="AY7" s="18">
        <v>1</v>
      </c>
      <c r="AZ7" s="18">
        <v>1</v>
      </c>
      <c r="BA7" s="18">
        <v>1</v>
      </c>
      <c r="BB7" s="18">
        <v>1</v>
      </c>
      <c r="BC7" s="18">
        <v>1</v>
      </c>
      <c r="BD7" s="18">
        <v>1</v>
      </c>
      <c r="BE7" s="18">
        <v>1</v>
      </c>
      <c r="BF7" s="18">
        <v>1</v>
      </c>
      <c r="BG7" s="18">
        <v>1</v>
      </c>
      <c r="BH7" s="18">
        <v>1</v>
      </c>
      <c r="BI7" s="18">
        <v>1</v>
      </c>
      <c r="BJ7" s="18">
        <v>1</v>
      </c>
      <c r="BK7" s="18">
        <v>1</v>
      </c>
      <c r="BL7" s="18">
        <v>1</v>
      </c>
      <c r="BM7" s="18">
        <v>1</v>
      </c>
      <c r="BN7" s="18">
        <v>1</v>
      </c>
      <c r="BO7" s="18">
        <v>1</v>
      </c>
      <c r="BP7" s="18">
        <v>1</v>
      </c>
      <c r="BQ7" s="18">
        <v>1</v>
      </c>
      <c r="BR7" s="18">
        <v>1</v>
      </c>
      <c r="BS7" s="18">
        <v>1</v>
      </c>
      <c r="BT7" s="18">
        <v>1</v>
      </c>
      <c r="BU7" s="18">
        <v>1</v>
      </c>
      <c r="BV7" s="18">
        <v>1</v>
      </c>
      <c r="BW7" s="18">
        <v>1</v>
      </c>
      <c r="BX7" s="18">
        <v>1</v>
      </c>
      <c r="BY7" s="18">
        <v>1</v>
      </c>
      <c r="BZ7" s="18">
        <v>1</v>
      </c>
      <c r="CA7" s="18">
        <v>1</v>
      </c>
      <c r="CB7" s="18">
        <v>1</v>
      </c>
      <c r="CC7" s="18">
        <v>1</v>
      </c>
      <c r="CD7" s="18">
        <v>1</v>
      </c>
      <c r="CE7" s="18">
        <v>1</v>
      </c>
      <c r="CF7" s="18">
        <v>1</v>
      </c>
      <c r="CG7" s="18">
        <v>1</v>
      </c>
      <c r="CH7" s="18">
        <v>1</v>
      </c>
      <c r="CI7" s="18">
        <v>1</v>
      </c>
      <c r="CJ7" s="18">
        <v>1</v>
      </c>
      <c r="CK7" s="18">
        <v>1</v>
      </c>
      <c r="CL7" s="18">
        <v>1</v>
      </c>
      <c r="CM7" s="18">
        <v>1</v>
      </c>
      <c r="CN7" s="18">
        <v>1</v>
      </c>
      <c r="CO7" s="18">
        <v>1</v>
      </c>
      <c r="CP7" s="18">
        <v>1</v>
      </c>
      <c r="CQ7" s="18">
        <v>1</v>
      </c>
      <c r="CR7" s="18">
        <v>1</v>
      </c>
      <c r="CS7" s="18">
        <v>1</v>
      </c>
      <c r="CT7" s="18">
        <v>1</v>
      </c>
      <c r="CU7" s="18">
        <v>1</v>
      </c>
      <c r="CV7" s="18">
        <v>1</v>
      </c>
      <c r="CW7" s="18">
        <v>1</v>
      </c>
      <c r="CX7" s="18">
        <v>1</v>
      </c>
      <c r="CY7" s="18">
        <v>1</v>
      </c>
      <c r="CZ7" s="18">
        <v>1</v>
      </c>
      <c r="DA7" s="18">
        <v>1</v>
      </c>
      <c r="DB7" s="18">
        <v>1</v>
      </c>
      <c r="DC7" s="18">
        <v>1</v>
      </c>
      <c r="DD7" s="18">
        <v>1</v>
      </c>
      <c r="DE7" s="18">
        <v>1</v>
      </c>
      <c r="DF7" s="18">
        <v>1</v>
      </c>
      <c r="DG7" s="18">
        <v>1</v>
      </c>
      <c r="DH7" s="18">
        <v>1</v>
      </c>
      <c r="DI7" s="18">
        <v>1</v>
      </c>
      <c r="DJ7" s="18">
        <v>1</v>
      </c>
      <c r="DK7" s="18">
        <v>1</v>
      </c>
      <c r="DL7" s="18">
        <v>1</v>
      </c>
      <c r="DM7" s="18">
        <v>1</v>
      </c>
      <c r="DN7" s="18">
        <v>1</v>
      </c>
      <c r="DO7" s="18">
        <v>1</v>
      </c>
      <c r="DP7" s="18">
        <v>1</v>
      </c>
      <c r="DQ7" s="18">
        <v>1</v>
      </c>
      <c r="DR7" s="18">
        <v>1</v>
      </c>
      <c r="DS7" s="18">
        <v>1</v>
      </c>
      <c r="DT7" s="18">
        <v>1</v>
      </c>
      <c r="DU7" s="18">
        <v>1</v>
      </c>
      <c r="DV7" s="18">
        <v>1</v>
      </c>
      <c r="DW7" s="18">
        <v>1</v>
      </c>
      <c r="DX7" s="18">
        <v>1</v>
      </c>
      <c r="DY7" s="18">
        <v>1</v>
      </c>
      <c r="DZ7" s="18">
        <v>1</v>
      </c>
      <c r="EA7" s="18">
        <v>1</v>
      </c>
      <c r="EB7" s="18">
        <v>1</v>
      </c>
      <c r="EC7" s="18">
        <v>1</v>
      </c>
      <c r="ED7" s="18">
        <v>1</v>
      </c>
      <c r="EE7" s="18">
        <v>1</v>
      </c>
      <c r="EF7" s="18">
        <v>1</v>
      </c>
      <c r="EG7" s="18">
        <v>1</v>
      </c>
      <c r="EH7" s="18">
        <v>1</v>
      </c>
      <c r="EI7" s="18">
        <v>1</v>
      </c>
      <c r="EJ7" s="18">
        <v>1</v>
      </c>
      <c r="EK7" s="18">
        <v>1</v>
      </c>
      <c r="EL7" s="18">
        <v>1</v>
      </c>
      <c r="EM7" s="18">
        <v>1</v>
      </c>
      <c r="EN7" s="18">
        <v>1</v>
      </c>
      <c r="EO7" s="18">
        <v>1</v>
      </c>
      <c r="EP7" s="18">
        <v>1</v>
      </c>
      <c r="EQ7" s="18">
        <v>1</v>
      </c>
      <c r="ER7" s="18">
        <v>1</v>
      </c>
      <c r="ES7" s="18">
        <v>1</v>
      </c>
      <c r="ET7" s="18">
        <v>1</v>
      </c>
      <c r="EU7" s="18">
        <v>1</v>
      </c>
      <c r="EV7" s="18">
        <v>1</v>
      </c>
      <c r="EW7" s="18">
        <v>1</v>
      </c>
      <c r="EX7" s="18"/>
      <c r="EY7" s="18">
        <v>1</v>
      </c>
      <c r="EZ7" s="18">
        <v>1</v>
      </c>
      <c r="FA7" s="18">
        <v>1</v>
      </c>
      <c r="FB7" s="18">
        <v>1</v>
      </c>
      <c r="FC7" s="18">
        <v>1</v>
      </c>
      <c r="FD7" s="18">
        <v>1</v>
      </c>
      <c r="FE7" s="18">
        <v>1</v>
      </c>
      <c r="FF7" s="18">
        <v>1</v>
      </c>
      <c r="FG7" s="18">
        <v>1</v>
      </c>
      <c r="FH7" s="18">
        <v>1</v>
      </c>
      <c r="FI7" s="18">
        <v>1</v>
      </c>
      <c r="FJ7" s="23"/>
      <c r="FK7" s="12"/>
      <c r="FL7" s="49"/>
      <c r="FM7" s="49"/>
      <c r="FN7" s="49"/>
      <c r="FO7" s="49"/>
      <c r="FP7" s="49"/>
      <c r="FQ7" s="49"/>
      <c r="FR7" s="49"/>
      <c r="FS7" s="49"/>
      <c r="FT7" s="49"/>
      <c r="FU7" s="49"/>
      <c r="FV7" s="49"/>
      <c r="FW7" s="49"/>
      <c r="FX7" s="49"/>
      <c r="FY7" s="49"/>
      <c r="FZ7" s="49"/>
      <c r="GA7" s="49"/>
      <c r="GB7" s="49"/>
      <c r="GC7" s="49"/>
      <c r="GD7" s="49"/>
      <c r="GE7" s="49"/>
      <c r="GF7" s="49"/>
      <c r="GG7" s="49"/>
      <c r="GH7" s="49"/>
      <c r="GI7" s="49"/>
      <c r="GJ7" s="49"/>
      <c r="GK7" s="49"/>
      <c r="GL7" s="49"/>
      <c r="GM7" s="49"/>
      <c r="GN7" s="49"/>
      <c r="GO7" s="49"/>
      <c r="GP7" s="49"/>
      <c r="GQ7" s="49"/>
      <c r="GR7" s="49"/>
      <c r="GS7" s="49"/>
      <c r="GT7" s="49"/>
      <c r="GU7" s="49"/>
      <c r="GV7" s="49"/>
      <c r="GW7" s="49"/>
      <c r="GX7" s="49"/>
      <c r="GY7" s="49"/>
      <c r="GZ7" s="49"/>
      <c r="HA7" s="49"/>
      <c r="HB7" s="49"/>
      <c r="HC7" s="49"/>
      <c r="HD7" s="49"/>
    </row>
    <row r="8" spans="1:212" s="13" customFormat="1" ht="39.75" hidden="1">
      <c r="D8" s="23"/>
      <c r="G8" s="57"/>
      <c r="J8" s="19">
        <f t="shared" ref="J8:BD8" si="0">DATE($J$3,J7,J6*7-$J$2)</f>
        <v>44193</v>
      </c>
      <c r="K8" s="19">
        <f t="shared" si="0"/>
        <v>44200</v>
      </c>
      <c r="L8" s="19">
        <f t="shared" si="0"/>
        <v>44207</v>
      </c>
      <c r="M8" s="19">
        <f t="shared" si="0"/>
        <v>44214</v>
      </c>
      <c r="N8" s="19">
        <f t="shared" si="0"/>
        <v>44221</v>
      </c>
      <c r="O8" s="19">
        <f t="shared" si="0"/>
        <v>44228</v>
      </c>
      <c r="P8" s="19">
        <f t="shared" si="0"/>
        <v>44235</v>
      </c>
      <c r="Q8" s="19">
        <f t="shared" si="0"/>
        <v>44242</v>
      </c>
      <c r="R8" s="19">
        <f t="shared" si="0"/>
        <v>44249</v>
      </c>
      <c r="S8" s="19">
        <f t="shared" si="0"/>
        <v>44256</v>
      </c>
      <c r="T8" s="19">
        <f t="shared" si="0"/>
        <v>44263</v>
      </c>
      <c r="U8" s="19">
        <f t="shared" si="0"/>
        <v>44270</v>
      </c>
      <c r="V8" s="19">
        <f t="shared" si="0"/>
        <v>44277</v>
      </c>
      <c r="W8" s="19">
        <f t="shared" si="0"/>
        <v>44284</v>
      </c>
      <c r="X8" s="19">
        <f t="shared" si="0"/>
        <v>44291</v>
      </c>
      <c r="Y8" s="19">
        <f t="shared" si="0"/>
        <v>44298</v>
      </c>
      <c r="Z8" s="19">
        <f t="shared" si="0"/>
        <v>44305</v>
      </c>
      <c r="AA8" s="19">
        <f t="shared" si="0"/>
        <v>44312</v>
      </c>
      <c r="AB8" s="19">
        <f t="shared" si="0"/>
        <v>44319</v>
      </c>
      <c r="AC8" s="19">
        <f t="shared" si="0"/>
        <v>44326</v>
      </c>
      <c r="AD8" s="19">
        <f t="shared" si="0"/>
        <v>44333</v>
      </c>
      <c r="AE8" s="19">
        <f t="shared" si="0"/>
        <v>44340</v>
      </c>
      <c r="AF8" s="19">
        <f t="shared" si="0"/>
        <v>44347</v>
      </c>
      <c r="AG8" s="19">
        <f t="shared" si="0"/>
        <v>44354</v>
      </c>
      <c r="AH8" s="19">
        <f t="shared" si="0"/>
        <v>44361</v>
      </c>
      <c r="AI8" s="19">
        <f t="shared" si="0"/>
        <v>44368</v>
      </c>
      <c r="AJ8" s="19">
        <f t="shared" si="0"/>
        <v>44375</v>
      </c>
      <c r="AK8" s="19">
        <f t="shared" si="0"/>
        <v>44382</v>
      </c>
      <c r="AL8" s="19">
        <f t="shared" si="0"/>
        <v>44389</v>
      </c>
      <c r="AM8" s="19">
        <f t="shared" si="0"/>
        <v>44396</v>
      </c>
      <c r="AN8" s="19">
        <f t="shared" si="0"/>
        <v>44403</v>
      </c>
      <c r="AO8" s="19">
        <f t="shared" si="0"/>
        <v>44410</v>
      </c>
      <c r="AP8" s="19">
        <f t="shared" si="0"/>
        <v>44417</v>
      </c>
      <c r="AQ8" s="19">
        <f t="shared" si="0"/>
        <v>44424</v>
      </c>
      <c r="AR8" s="19">
        <f t="shared" si="0"/>
        <v>44431</v>
      </c>
      <c r="AS8" s="19">
        <f t="shared" si="0"/>
        <v>44438</v>
      </c>
      <c r="AT8" s="19">
        <f t="shared" si="0"/>
        <v>44445</v>
      </c>
      <c r="AU8" s="19">
        <f t="shared" si="0"/>
        <v>44452</v>
      </c>
      <c r="AV8" s="19">
        <f t="shared" si="0"/>
        <v>44459</v>
      </c>
      <c r="AW8" s="19">
        <f t="shared" si="0"/>
        <v>44466</v>
      </c>
      <c r="AX8" s="19">
        <f t="shared" si="0"/>
        <v>44473</v>
      </c>
      <c r="AY8" s="19">
        <f t="shared" si="0"/>
        <v>44480</v>
      </c>
      <c r="AZ8" s="19">
        <f t="shared" si="0"/>
        <v>44487</v>
      </c>
      <c r="BA8" s="19">
        <f t="shared" si="0"/>
        <v>44494</v>
      </c>
      <c r="BB8" s="19">
        <f t="shared" si="0"/>
        <v>44501</v>
      </c>
      <c r="BC8" s="19">
        <f t="shared" si="0"/>
        <v>44508</v>
      </c>
      <c r="BD8" s="19">
        <f t="shared" si="0"/>
        <v>44515</v>
      </c>
      <c r="BE8" s="19">
        <f>DATE($J$3,BE7,BE6*7-$J$2)</f>
        <v>44522</v>
      </c>
      <c r="BF8" s="19">
        <f>DATE($J$3,BF7,BF6*7-$J$2)</f>
        <v>44529</v>
      </c>
      <c r="BG8" s="19">
        <f>DATE($J$3,BG7,BG6*7-$J$2)</f>
        <v>44536</v>
      </c>
      <c r="BH8" s="19">
        <f>DATE($J$3,BH7,BH6*7-$J$2)</f>
        <v>44543</v>
      </c>
      <c r="BI8" s="19">
        <f>DATE($J$3,BI7,BI6*7-$J$2)</f>
        <v>44550</v>
      </c>
      <c r="BJ8" s="19">
        <f t="shared" ref="BJ8:DE8" si="1">DATE($BJ$3,BJ7,BJ6*7-$BK$2)</f>
        <v>44557</v>
      </c>
      <c r="BK8" s="19">
        <f t="shared" si="1"/>
        <v>44564</v>
      </c>
      <c r="BL8" s="19">
        <f t="shared" si="1"/>
        <v>44571</v>
      </c>
      <c r="BM8" s="19">
        <f t="shared" si="1"/>
        <v>44578</v>
      </c>
      <c r="BN8" s="19">
        <f t="shared" si="1"/>
        <v>44585</v>
      </c>
      <c r="BO8" s="19">
        <f t="shared" si="1"/>
        <v>44592</v>
      </c>
      <c r="BP8" s="19">
        <f t="shared" si="1"/>
        <v>44599</v>
      </c>
      <c r="BQ8" s="19">
        <f t="shared" si="1"/>
        <v>44606</v>
      </c>
      <c r="BR8" s="19">
        <f t="shared" si="1"/>
        <v>44613</v>
      </c>
      <c r="BS8" s="19">
        <f t="shared" si="1"/>
        <v>44620</v>
      </c>
      <c r="BT8" s="19">
        <f t="shared" si="1"/>
        <v>44627</v>
      </c>
      <c r="BU8" s="19">
        <f t="shared" si="1"/>
        <v>44634</v>
      </c>
      <c r="BV8" s="19">
        <f t="shared" si="1"/>
        <v>44641</v>
      </c>
      <c r="BW8" s="19">
        <f t="shared" si="1"/>
        <v>44648</v>
      </c>
      <c r="BX8" s="19">
        <f t="shared" si="1"/>
        <v>44655</v>
      </c>
      <c r="BY8" s="19">
        <f t="shared" si="1"/>
        <v>44662</v>
      </c>
      <c r="BZ8" s="19">
        <f t="shared" si="1"/>
        <v>44669</v>
      </c>
      <c r="CA8" s="19">
        <f t="shared" si="1"/>
        <v>44676</v>
      </c>
      <c r="CB8" s="19">
        <f t="shared" si="1"/>
        <v>44683</v>
      </c>
      <c r="CC8" s="19">
        <f t="shared" si="1"/>
        <v>44690</v>
      </c>
      <c r="CD8" s="19">
        <f t="shared" si="1"/>
        <v>44697</v>
      </c>
      <c r="CE8" s="19">
        <f t="shared" si="1"/>
        <v>44704</v>
      </c>
      <c r="CF8" s="19">
        <f t="shared" si="1"/>
        <v>44711</v>
      </c>
      <c r="CG8" s="19">
        <f t="shared" si="1"/>
        <v>44718</v>
      </c>
      <c r="CH8" s="19">
        <f t="shared" si="1"/>
        <v>44725</v>
      </c>
      <c r="CI8" s="19">
        <f t="shared" si="1"/>
        <v>44732</v>
      </c>
      <c r="CJ8" s="19">
        <f t="shared" si="1"/>
        <v>44739</v>
      </c>
      <c r="CK8" s="19">
        <f t="shared" si="1"/>
        <v>44746</v>
      </c>
      <c r="CL8" s="19">
        <f t="shared" si="1"/>
        <v>44753</v>
      </c>
      <c r="CM8" s="19">
        <f t="shared" si="1"/>
        <v>44760</v>
      </c>
      <c r="CN8" s="19">
        <f t="shared" si="1"/>
        <v>44767</v>
      </c>
      <c r="CO8" s="19">
        <f t="shared" si="1"/>
        <v>44774</v>
      </c>
      <c r="CP8" s="19">
        <f t="shared" si="1"/>
        <v>44781</v>
      </c>
      <c r="CQ8" s="19">
        <f t="shared" si="1"/>
        <v>44788</v>
      </c>
      <c r="CR8" s="19">
        <f t="shared" si="1"/>
        <v>44795</v>
      </c>
      <c r="CS8" s="19">
        <f t="shared" si="1"/>
        <v>44802</v>
      </c>
      <c r="CT8" s="19">
        <f t="shared" si="1"/>
        <v>44809</v>
      </c>
      <c r="CU8" s="19">
        <f t="shared" si="1"/>
        <v>44816</v>
      </c>
      <c r="CV8" s="19">
        <f t="shared" si="1"/>
        <v>44823</v>
      </c>
      <c r="CW8" s="19">
        <f t="shared" si="1"/>
        <v>44830</v>
      </c>
      <c r="CX8" s="19">
        <f t="shared" si="1"/>
        <v>44837</v>
      </c>
      <c r="CY8" s="19">
        <f t="shared" si="1"/>
        <v>44844</v>
      </c>
      <c r="CZ8" s="19">
        <f t="shared" si="1"/>
        <v>44851</v>
      </c>
      <c r="DA8" s="19">
        <f t="shared" si="1"/>
        <v>44858</v>
      </c>
      <c r="DB8" s="19">
        <f t="shared" si="1"/>
        <v>44865</v>
      </c>
      <c r="DC8" s="19">
        <f t="shared" si="1"/>
        <v>44872</v>
      </c>
      <c r="DD8" s="19">
        <f t="shared" si="1"/>
        <v>44879</v>
      </c>
      <c r="DE8" s="19">
        <f t="shared" si="1"/>
        <v>44886</v>
      </c>
      <c r="DF8" s="19">
        <f>DATE($BJ$3,DF7,DF6*7-$BK$2)</f>
        <v>44893</v>
      </c>
      <c r="DG8" s="19">
        <f>DATE($BJ$3,DG7,DG6*7-$BK$2)</f>
        <v>44900</v>
      </c>
      <c r="DH8" s="19">
        <f>DATE($BJ$3,DH7,DH6*7-$BK$2)</f>
        <v>44907</v>
      </c>
      <c r="DI8" s="19">
        <f>DATE($BJ$3,DI7,DI6*7-$BK$2)</f>
        <v>44914</v>
      </c>
      <c r="DJ8" s="19">
        <f t="shared" ref="DJ8:FI8" si="2">DATE($DJ$3,DJ7,DJ6*7-$DJ$2)</f>
        <v>44921</v>
      </c>
      <c r="DK8" s="19">
        <f t="shared" si="2"/>
        <v>44928</v>
      </c>
      <c r="DL8" s="19">
        <f t="shared" si="2"/>
        <v>44935</v>
      </c>
      <c r="DM8" s="19">
        <f t="shared" si="2"/>
        <v>44942</v>
      </c>
      <c r="DN8" s="19">
        <f t="shared" si="2"/>
        <v>44949</v>
      </c>
      <c r="DO8" s="19">
        <f t="shared" si="2"/>
        <v>44956</v>
      </c>
      <c r="DP8" s="19">
        <f t="shared" si="2"/>
        <v>44963</v>
      </c>
      <c r="DQ8" s="19">
        <f t="shared" si="2"/>
        <v>44970</v>
      </c>
      <c r="DR8" s="19">
        <f t="shared" si="2"/>
        <v>44977</v>
      </c>
      <c r="DS8" s="19">
        <f t="shared" si="2"/>
        <v>44984</v>
      </c>
      <c r="DT8" s="19">
        <f t="shared" si="2"/>
        <v>44991</v>
      </c>
      <c r="DU8" s="19">
        <f t="shared" si="2"/>
        <v>44998</v>
      </c>
      <c r="DV8" s="19">
        <f t="shared" si="2"/>
        <v>45005</v>
      </c>
      <c r="DW8" s="19">
        <f t="shared" si="2"/>
        <v>45012</v>
      </c>
      <c r="DX8" s="19">
        <f t="shared" si="2"/>
        <v>45019</v>
      </c>
      <c r="DY8" s="19">
        <f t="shared" si="2"/>
        <v>45026</v>
      </c>
      <c r="DZ8" s="19">
        <f t="shared" si="2"/>
        <v>45033</v>
      </c>
      <c r="EA8" s="19">
        <f t="shared" si="2"/>
        <v>45040</v>
      </c>
      <c r="EB8" s="19">
        <f t="shared" si="2"/>
        <v>45047</v>
      </c>
      <c r="EC8" s="19">
        <f t="shared" si="2"/>
        <v>45054</v>
      </c>
      <c r="ED8" s="19">
        <f t="shared" si="2"/>
        <v>45061</v>
      </c>
      <c r="EE8" s="19">
        <f t="shared" si="2"/>
        <v>45068</v>
      </c>
      <c r="EF8" s="19">
        <f t="shared" si="2"/>
        <v>45075</v>
      </c>
      <c r="EG8" s="19">
        <f t="shared" si="2"/>
        <v>45082</v>
      </c>
      <c r="EH8" s="19">
        <f t="shared" si="2"/>
        <v>45089</v>
      </c>
      <c r="EI8" s="19">
        <f t="shared" si="2"/>
        <v>45096</v>
      </c>
      <c r="EJ8" s="19">
        <f t="shared" si="2"/>
        <v>45103</v>
      </c>
      <c r="EK8" s="19">
        <f t="shared" si="2"/>
        <v>45110</v>
      </c>
      <c r="EL8" s="19">
        <f t="shared" si="2"/>
        <v>45117</v>
      </c>
      <c r="EM8" s="19">
        <f t="shared" si="2"/>
        <v>45124</v>
      </c>
      <c r="EN8" s="19">
        <f t="shared" si="2"/>
        <v>45131</v>
      </c>
      <c r="EO8" s="19">
        <f t="shared" si="2"/>
        <v>45138</v>
      </c>
      <c r="EP8" s="19">
        <f t="shared" si="2"/>
        <v>45145</v>
      </c>
      <c r="EQ8" s="19">
        <f t="shared" si="2"/>
        <v>45152</v>
      </c>
      <c r="ER8" s="19">
        <f t="shared" si="2"/>
        <v>45159</v>
      </c>
      <c r="ES8" s="19">
        <f t="shared" si="2"/>
        <v>45166</v>
      </c>
      <c r="ET8" s="19">
        <f t="shared" si="2"/>
        <v>45173</v>
      </c>
      <c r="EU8" s="19">
        <f t="shared" si="2"/>
        <v>45180</v>
      </c>
      <c r="EV8" s="19">
        <f t="shared" si="2"/>
        <v>45187</v>
      </c>
      <c r="EW8" s="19">
        <f t="shared" si="2"/>
        <v>45194</v>
      </c>
      <c r="EX8" s="19">
        <f t="shared" si="2"/>
        <v>45170</v>
      </c>
      <c r="EY8" s="19">
        <f t="shared" si="2"/>
        <v>45208</v>
      </c>
      <c r="EZ8" s="19">
        <f t="shared" si="2"/>
        <v>45215</v>
      </c>
      <c r="FA8" s="19">
        <f t="shared" si="2"/>
        <v>45222</v>
      </c>
      <c r="FB8" s="19">
        <f t="shared" si="2"/>
        <v>45229</v>
      </c>
      <c r="FC8" s="19">
        <f t="shared" si="2"/>
        <v>45236</v>
      </c>
      <c r="FD8" s="19">
        <f t="shared" si="2"/>
        <v>45243</v>
      </c>
      <c r="FE8" s="19">
        <f t="shared" si="2"/>
        <v>45250</v>
      </c>
      <c r="FF8" s="19">
        <f t="shared" si="2"/>
        <v>45257</v>
      </c>
      <c r="FG8" s="19">
        <f t="shared" si="2"/>
        <v>45264</v>
      </c>
      <c r="FH8" s="19">
        <f t="shared" si="2"/>
        <v>45271</v>
      </c>
      <c r="FI8" s="19">
        <f t="shared" si="2"/>
        <v>45278</v>
      </c>
      <c r="FJ8" s="19"/>
      <c r="FK8" s="12"/>
      <c r="FL8" s="49"/>
      <c r="FM8" s="49"/>
      <c r="FN8" s="49"/>
      <c r="FO8" s="49"/>
      <c r="FP8" s="49"/>
      <c r="FQ8" s="49"/>
      <c r="FR8" s="49"/>
      <c r="FS8" s="49"/>
      <c r="FT8" s="49"/>
      <c r="FU8" s="49"/>
      <c r="FV8" s="49"/>
      <c r="FW8" s="49"/>
      <c r="FX8" s="49"/>
      <c r="FY8" s="49"/>
      <c r="FZ8" s="49"/>
      <c r="GA8" s="49"/>
      <c r="GB8" s="49"/>
      <c r="GC8" s="49"/>
      <c r="GD8" s="49"/>
      <c r="GE8" s="49"/>
      <c r="GF8" s="49"/>
      <c r="GG8" s="49"/>
      <c r="GH8" s="49"/>
      <c r="GI8" s="49"/>
      <c r="GJ8" s="49"/>
      <c r="GK8" s="49"/>
      <c r="GL8" s="49"/>
      <c r="GM8" s="49"/>
      <c r="GN8" s="49"/>
      <c r="GO8" s="49"/>
      <c r="GP8" s="49"/>
      <c r="GQ8" s="49"/>
      <c r="GR8" s="49"/>
      <c r="GS8" s="49"/>
      <c r="GT8" s="49"/>
      <c r="GU8" s="49"/>
      <c r="GV8" s="49"/>
      <c r="GW8" s="49"/>
      <c r="GX8" s="49"/>
      <c r="GY8" s="49"/>
      <c r="GZ8" s="49"/>
      <c r="HA8" s="49"/>
      <c r="HB8" s="49"/>
      <c r="HC8" s="49"/>
      <c r="HD8" s="49"/>
    </row>
    <row r="9" spans="1:212" s="20" customFormat="1" ht="8.25" hidden="1">
      <c r="D9" s="24"/>
      <c r="G9" s="58"/>
      <c r="J9" s="20" t="str">
        <f t="shared" ref="J9:BC9" ca="1" si="3">IF(OR(MONTH($C$63)=MONTH(J8),MONTH($C$63)=MONTH(K8)),IF(AND(J8&lt;=$C$63,K8&gt;$C$63),"X",""),"")</f>
        <v/>
      </c>
      <c r="K9" s="20" t="str">
        <f t="shared" ca="1" si="3"/>
        <v/>
      </c>
      <c r="L9" s="20" t="str">
        <f t="shared" ca="1" si="3"/>
        <v/>
      </c>
      <c r="M9" s="20" t="str">
        <f t="shared" ca="1" si="3"/>
        <v/>
      </c>
      <c r="N9" s="20" t="str">
        <f t="shared" ca="1" si="3"/>
        <v/>
      </c>
      <c r="O9" s="20" t="str">
        <f t="shared" ca="1" si="3"/>
        <v/>
      </c>
      <c r="P9" s="20" t="str">
        <f t="shared" ca="1" si="3"/>
        <v/>
      </c>
      <c r="Q9" s="20" t="str">
        <f t="shared" ca="1" si="3"/>
        <v/>
      </c>
      <c r="R9" s="20" t="str">
        <f t="shared" ca="1" si="3"/>
        <v/>
      </c>
      <c r="S9" s="20" t="str">
        <f t="shared" ca="1" si="3"/>
        <v/>
      </c>
      <c r="T9" s="20" t="str">
        <f t="shared" ca="1" si="3"/>
        <v/>
      </c>
      <c r="U9" s="20" t="str">
        <f t="shared" ca="1" si="3"/>
        <v/>
      </c>
      <c r="V9" s="20" t="str">
        <f t="shared" ca="1" si="3"/>
        <v/>
      </c>
      <c r="W9" s="20" t="str">
        <f t="shared" ca="1" si="3"/>
        <v/>
      </c>
      <c r="X9" s="20" t="str">
        <f t="shared" ca="1" si="3"/>
        <v/>
      </c>
      <c r="Y9" s="20" t="str">
        <f t="shared" ca="1" si="3"/>
        <v/>
      </c>
      <c r="Z9" s="20" t="str">
        <f t="shared" ca="1" si="3"/>
        <v/>
      </c>
      <c r="AA9" s="20" t="str">
        <f t="shared" ca="1" si="3"/>
        <v/>
      </c>
      <c r="AB9" s="20" t="str">
        <f t="shared" ca="1" si="3"/>
        <v/>
      </c>
      <c r="AC9" s="20" t="str">
        <f t="shared" ca="1" si="3"/>
        <v/>
      </c>
      <c r="AD9" s="20" t="str">
        <f t="shared" ca="1" si="3"/>
        <v/>
      </c>
      <c r="AE9" s="20" t="str">
        <f t="shared" ca="1" si="3"/>
        <v/>
      </c>
      <c r="AF9" s="20" t="str">
        <f t="shared" ca="1" si="3"/>
        <v/>
      </c>
      <c r="AG9" s="20" t="str">
        <f t="shared" ca="1" si="3"/>
        <v/>
      </c>
      <c r="AH9" s="20" t="str">
        <f t="shared" ca="1" si="3"/>
        <v/>
      </c>
      <c r="AI9" s="20" t="str">
        <f t="shared" ca="1" si="3"/>
        <v/>
      </c>
      <c r="AJ9" s="20" t="str">
        <f t="shared" ca="1" si="3"/>
        <v/>
      </c>
      <c r="AK9" s="20" t="str">
        <f t="shared" ca="1" si="3"/>
        <v/>
      </c>
      <c r="AL9" s="20" t="str">
        <f t="shared" ca="1" si="3"/>
        <v/>
      </c>
      <c r="AM9" s="20" t="str">
        <f t="shared" ca="1" si="3"/>
        <v/>
      </c>
      <c r="AN9" s="20" t="str">
        <f t="shared" ca="1" si="3"/>
        <v/>
      </c>
      <c r="AO9" s="20" t="str">
        <f t="shared" ca="1" si="3"/>
        <v/>
      </c>
      <c r="AP9" s="20" t="str">
        <f t="shared" ca="1" si="3"/>
        <v/>
      </c>
      <c r="AQ9" s="20" t="str">
        <f t="shared" ca="1" si="3"/>
        <v/>
      </c>
      <c r="AR9" s="20" t="str">
        <f t="shared" ca="1" si="3"/>
        <v/>
      </c>
      <c r="AS9" s="20" t="str">
        <f t="shared" ca="1" si="3"/>
        <v/>
      </c>
      <c r="AT9" s="20" t="str">
        <f t="shared" ca="1" si="3"/>
        <v/>
      </c>
      <c r="AU9" s="20" t="str">
        <f t="shared" ca="1" si="3"/>
        <v/>
      </c>
      <c r="AV9" s="20" t="str">
        <f t="shared" ca="1" si="3"/>
        <v/>
      </c>
      <c r="AW9" s="20" t="str">
        <f t="shared" ca="1" si="3"/>
        <v/>
      </c>
      <c r="AX9" s="20" t="str">
        <f t="shared" ca="1" si="3"/>
        <v/>
      </c>
      <c r="AY9" s="20" t="str">
        <f t="shared" ca="1" si="3"/>
        <v/>
      </c>
      <c r="AZ9" s="20" t="str">
        <f t="shared" ca="1" si="3"/>
        <v/>
      </c>
      <c r="BA9" s="20" t="str">
        <f t="shared" ca="1" si="3"/>
        <v/>
      </c>
      <c r="BB9" s="20" t="str">
        <f t="shared" ca="1" si="3"/>
        <v/>
      </c>
      <c r="BC9" s="20" t="str">
        <f t="shared" ca="1" si="3"/>
        <v/>
      </c>
      <c r="BD9" s="20" t="str">
        <f t="shared" ref="BD9:DO9" ca="1" si="4">IF(OR(MONTH($C$63)=MONTH(BC8),MONTH($C$63)=MONTH(BD8)),IF(AND(BC8&lt;=$C$63,BD8&gt;$C$63),"X",""),"")</f>
        <v/>
      </c>
      <c r="BE9" s="20" t="str">
        <f t="shared" ca="1" si="4"/>
        <v/>
      </c>
      <c r="BF9" s="20" t="str">
        <f t="shared" ca="1" si="4"/>
        <v/>
      </c>
      <c r="BG9" s="20" t="str">
        <f t="shared" ca="1" si="4"/>
        <v/>
      </c>
      <c r="BH9" s="20" t="str">
        <f t="shared" ca="1" si="4"/>
        <v/>
      </c>
      <c r="BI9" s="20" t="str">
        <f t="shared" ca="1" si="4"/>
        <v/>
      </c>
      <c r="BJ9" s="20" t="str">
        <f t="shared" ca="1" si="4"/>
        <v/>
      </c>
      <c r="BK9" s="20" t="str">
        <f t="shared" ca="1" si="4"/>
        <v/>
      </c>
      <c r="BL9" s="20" t="str">
        <f t="shared" ca="1" si="4"/>
        <v/>
      </c>
      <c r="BM9" s="20" t="str">
        <f t="shared" ca="1" si="4"/>
        <v/>
      </c>
      <c r="BN9" s="20" t="str">
        <f t="shared" ca="1" si="4"/>
        <v/>
      </c>
      <c r="BO9" s="20" t="str">
        <f t="shared" ca="1" si="4"/>
        <v/>
      </c>
      <c r="BP9" s="20" t="str">
        <f t="shared" ca="1" si="4"/>
        <v/>
      </c>
      <c r="BQ9" s="20" t="str">
        <f t="shared" ca="1" si="4"/>
        <v/>
      </c>
      <c r="BR9" s="20" t="str">
        <f t="shared" ca="1" si="4"/>
        <v/>
      </c>
      <c r="BS9" s="20" t="str">
        <f t="shared" ca="1" si="4"/>
        <v/>
      </c>
      <c r="BT9" s="20" t="str">
        <f t="shared" ca="1" si="4"/>
        <v/>
      </c>
      <c r="BU9" s="20" t="str">
        <f t="shared" ca="1" si="4"/>
        <v/>
      </c>
      <c r="BV9" s="20" t="str">
        <f t="shared" ca="1" si="4"/>
        <v/>
      </c>
      <c r="BW9" s="20" t="str">
        <f t="shared" ca="1" si="4"/>
        <v/>
      </c>
      <c r="BX9" s="20" t="str">
        <f t="shared" ca="1" si="4"/>
        <v/>
      </c>
      <c r="BY9" s="20" t="str">
        <f t="shared" ca="1" si="4"/>
        <v/>
      </c>
      <c r="BZ9" s="20" t="str">
        <f t="shared" ca="1" si="4"/>
        <v/>
      </c>
      <c r="CA9" s="20" t="str">
        <f t="shared" ca="1" si="4"/>
        <v/>
      </c>
      <c r="CB9" s="20" t="str">
        <f t="shared" ca="1" si="4"/>
        <v/>
      </c>
      <c r="CC9" s="20" t="str">
        <f t="shared" ca="1" si="4"/>
        <v/>
      </c>
      <c r="CD9" s="20" t="str">
        <f t="shared" ca="1" si="4"/>
        <v/>
      </c>
      <c r="CE9" s="20" t="str">
        <f t="shared" ca="1" si="4"/>
        <v/>
      </c>
      <c r="CF9" s="20" t="str">
        <f t="shared" ca="1" si="4"/>
        <v/>
      </c>
      <c r="CG9" s="20" t="str">
        <f t="shared" ca="1" si="4"/>
        <v/>
      </c>
      <c r="CH9" s="20" t="str">
        <f t="shared" ca="1" si="4"/>
        <v/>
      </c>
      <c r="CI9" s="20" t="str">
        <f t="shared" ca="1" si="4"/>
        <v/>
      </c>
      <c r="CJ9" s="20" t="str">
        <f t="shared" ca="1" si="4"/>
        <v/>
      </c>
      <c r="CK9" s="20" t="str">
        <f t="shared" ca="1" si="4"/>
        <v/>
      </c>
      <c r="CL9" s="20" t="str">
        <f t="shared" ca="1" si="4"/>
        <v/>
      </c>
      <c r="CM9" s="20" t="str">
        <f t="shared" ca="1" si="4"/>
        <v/>
      </c>
      <c r="CN9" s="20" t="str">
        <f t="shared" ca="1" si="4"/>
        <v/>
      </c>
      <c r="CO9" s="20" t="str">
        <f t="shared" ca="1" si="4"/>
        <v/>
      </c>
      <c r="CP9" s="20" t="str">
        <f t="shared" ca="1" si="4"/>
        <v/>
      </c>
      <c r="CQ9" s="20" t="str">
        <f t="shared" ca="1" si="4"/>
        <v/>
      </c>
      <c r="CR9" s="20" t="str">
        <f t="shared" ca="1" si="4"/>
        <v/>
      </c>
      <c r="CS9" s="20" t="str">
        <f t="shared" ca="1" si="4"/>
        <v/>
      </c>
      <c r="CT9" s="20" t="str">
        <f t="shared" ca="1" si="4"/>
        <v/>
      </c>
      <c r="CU9" s="20" t="str">
        <f t="shared" ca="1" si="4"/>
        <v/>
      </c>
      <c r="CV9" s="20" t="str">
        <f t="shared" ca="1" si="4"/>
        <v/>
      </c>
      <c r="CW9" s="20" t="str">
        <f t="shared" ca="1" si="4"/>
        <v/>
      </c>
      <c r="CX9" s="20" t="str">
        <f t="shared" ca="1" si="4"/>
        <v/>
      </c>
      <c r="CY9" s="20" t="str">
        <f t="shared" ca="1" si="4"/>
        <v/>
      </c>
      <c r="CZ9" s="20" t="str">
        <f t="shared" ca="1" si="4"/>
        <v/>
      </c>
      <c r="DA9" s="20" t="str">
        <f t="shared" ca="1" si="4"/>
        <v/>
      </c>
      <c r="DB9" s="20" t="str">
        <f t="shared" ca="1" si="4"/>
        <v/>
      </c>
      <c r="DC9" s="20" t="str">
        <f t="shared" ca="1" si="4"/>
        <v/>
      </c>
      <c r="DD9" s="20" t="str">
        <f t="shared" ca="1" si="4"/>
        <v/>
      </c>
      <c r="DE9" s="20" t="str">
        <f t="shared" ca="1" si="4"/>
        <v/>
      </c>
      <c r="DF9" s="20" t="str">
        <f ca="1">IF(OR(MONTH($C$63)=MONTH(DE8),MONTH($C$63)=MONTH(DF8)),IF(AND(DE8&lt;=$C$63,DF8&gt;$C$63),"X",""),"")</f>
        <v/>
      </c>
      <c r="DG9" s="20" t="str">
        <f t="shared" ca="1" si="4"/>
        <v/>
      </c>
      <c r="DH9" s="20" t="str">
        <f t="shared" ca="1" si="4"/>
        <v/>
      </c>
      <c r="DI9" s="20" t="str">
        <f t="shared" ca="1" si="4"/>
        <v/>
      </c>
      <c r="DJ9" s="20" t="str">
        <f t="shared" ca="1" si="4"/>
        <v/>
      </c>
      <c r="DK9" s="20" t="str">
        <f t="shared" ca="1" si="4"/>
        <v/>
      </c>
      <c r="DL9" s="20" t="str">
        <f t="shared" ca="1" si="4"/>
        <v/>
      </c>
      <c r="DM9" s="20" t="str">
        <f t="shared" ca="1" si="4"/>
        <v/>
      </c>
      <c r="DN9" s="20" t="str">
        <f t="shared" ca="1" si="4"/>
        <v/>
      </c>
      <c r="DO9" s="20" t="str">
        <f t="shared" ca="1" si="4"/>
        <v>X</v>
      </c>
      <c r="DP9" s="20" t="str">
        <f t="shared" ref="DP9:FI9" ca="1" si="5">IF(OR(MONTH($C$63)=MONTH(DO8),MONTH($C$63)=MONTH(DP8)),IF(AND(DO8&lt;=$C$63,DP8&gt;$C$63),"X",""),"")</f>
        <v/>
      </c>
      <c r="DQ9" s="20" t="str">
        <f t="shared" ca="1" si="5"/>
        <v/>
      </c>
      <c r="DR9" s="20" t="str">
        <f t="shared" ca="1" si="5"/>
        <v/>
      </c>
      <c r="DS9" s="20" t="str">
        <f t="shared" ca="1" si="5"/>
        <v/>
      </c>
      <c r="DT9" s="20" t="str">
        <f t="shared" ca="1" si="5"/>
        <v/>
      </c>
      <c r="DU9" s="20" t="str">
        <f t="shared" ca="1" si="5"/>
        <v/>
      </c>
      <c r="DV9" s="20" t="str">
        <f t="shared" ca="1" si="5"/>
        <v/>
      </c>
      <c r="DW9" s="20" t="str">
        <f t="shared" ca="1" si="5"/>
        <v/>
      </c>
      <c r="DX9" s="20" t="str">
        <f t="shared" ca="1" si="5"/>
        <v/>
      </c>
      <c r="DY9" s="20" t="str">
        <f t="shared" ca="1" si="5"/>
        <v/>
      </c>
      <c r="DZ9" s="20" t="str">
        <f t="shared" ca="1" si="5"/>
        <v/>
      </c>
      <c r="EA9" s="20" t="str">
        <f t="shared" ca="1" si="5"/>
        <v/>
      </c>
      <c r="EB9" s="20" t="str">
        <f t="shared" ca="1" si="5"/>
        <v/>
      </c>
      <c r="EC9" s="20" t="str">
        <f t="shared" ca="1" si="5"/>
        <v/>
      </c>
      <c r="ED9" s="20" t="str">
        <f t="shared" ca="1" si="5"/>
        <v/>
      </c>
      <c r="EE9" s="20" t="str">
        <f t="shared" ca="1" si="5"/>
        <v/>
      </c>
      <c r="EF9" s="20" t="str">
        <f t="shared" ca="1" si="5"/>
        <v/>
      </c>
      <c r="EG9" s="20" t="str">
        <f t="shared" ca="1" si="5"/>
        <v/>
      </c>
      <c r="EH9" s="20" t="str">
        <f t="shared" ca="1" si="5"/>
        <v/>
      </c>
      <c r="EI9" s="20" t="str">
        <f t="shared" ca="1" si="5"/>
        <v/>
      </c>
      <c r="EJ9" s="20" t="str">
        <f t="shared" ca="1" si="5"/>
        <v/>
      </c>
      <c r="EK9" s="20" t="str">
        <f t="shared" ca="1" si="5"/>
        <v/>
      </c>
      <c r="EL9" s="20" t="str">
        <f t="shared" ca="1" si="5"/>
        <v/>
      </c>
      <c r="EM9" s="20" t="str">
        <f t="shared" ca="1" si="5"/>
        <v/>
      </c>
      <c r="EN9" s="20" t="str">
        <f t="shared" ca="1" si="5"/>
        <v/>
      </c>
      <c r="EO9" s="20" t="str">
        <f t="shared" ca="1" si="5"/>
        <v/>
      </c>
      <c r="EP9" s="20" t="str">
        <f t="shared" ca="1" si="5"/>
        <v/>
      </c>
      <c r="EQ9" s="20" t="str">
        <f t="shared" ca="1" si="5"/>
        <v/>
      </c>
      <c r="ER9" s="20" t="str">
        <f t="shared" ca="1" si="5"/>
        <v/>
      </c>
      <c r="ES9" s="20" t="str">
        <f t="shared" ca="1" si="5"/>
        <v/>
      </c>
      <c r="ET9" s="20" t="str">
        <f t="shared" ca="1" si="5"/>
        <v/>
      </c>
      <c r="EU9" s="20" t="str">
        <f t="shared" ca="1" si="5"/>
        <v/>
      </c>
      <c r="EV9" s="20" t="str">
        <f t="shared" ca="1" si="5"/>
        <v/>
      </c>
      <c r="EW9" s="20" t="str">
        <f t="shared" ca="1" si="5"/>
        <v/>
      </c>
      <c r="EY9" s="20" t="str">
        <f ca="1">IF(OR(MONTH($C$63)=MONTH(EW8),MONTH($C$63)=MONTH(EY8)),IF(AND(EW8&lt;=$C$63,EY8&gt;$C$63),"X",""),"")</f>
        <v/>
      </c>
      <c r="EZ9" s="20" t="str">
        <f t="shared" ca="1" si="5"/>
        <v/>
      </c>
      <c r="FA9" s="20" t="str">
        <f t="shared" ca="1" si="5"/>
        <v/>
      </c>
      <c r="FB9" s="20" t="str">
        <f t="shared" ca="1" si="5"/>
        <v/>
      </c>
      <c r="FC9" s="20" t="str">
        <f t="shared" ca="1" si="5"/>
        <v/>
      </c>
      <c r="FD9" s="20" t="str">
        <f t="shared" ca="1" si="5"/>
        <v/>
      </c>
      <c r="FE9" s="20" t="str">
        <f t="shared" ca="1" si="5"/>
        <v/>
      </c>
      <c r="FF9" s="20" t="str">
        <f t="shared" ca="1" si="5"/>
        <v/>
      </c>
      <c r="FG9" s="20" t="str">
        <f t="shared" ca="1" si="5"/>
        <v/>
      </c>
      <c r="FH9" s="20" t="str">
        <f t="shared" ca="1" si="5"/>
        <v/>
      </c>
      <c r="FI9" s="20" t="str">
        <f t="shared" ca="1" si="5"/>
        <v/>
      </c>
      <c r="FK9" s="12"/>
      <c r="FL9" s="53"/>
      <c r="FM9" s="53"/>
      <c r="FN9" s="53"/>
      <c r="FO9" s="53"/>
      <c r="FP9" s="53"/>
      <c r="FQ9" s="53"/>
      <c r="FR9" s="53"/>
      <c r="FS9" s="53"/>
      <c r="FT9" s="53"/>
      <c r="FU9" s="53"/>
      <c r="FV9" s="53"/>
      <c r="FW9" s="53"/>
      <c r="FX9" s="53"/>
      <c r="FY9" s="53"/>
      <c r="FZ9" s="53"/>
      <c r="GA9" s="53"/>
      <c r="GB9" s="53"/>
      <c r="GC9" s="53"/>
      <c r="GD9" s="53"/>
      <c r="GE9" s="53"/>
      <c r="GF9" s="53"/>
      <c r="GG9" s="53"/>
      <c r="GH9" s="53"/>
      <c r="GI9" s="53"/>
      <c r="GJ9" s="53"/>
      <c r="GK9" s="53"/>
      <c r="GL9" s="53"/>
      <c r="GM9" s="53"/>
      <c r="GN9" s="53"/>
      <c r="GO9" s="53"/>
      <c r="GP9" s="53"/>
      <c r="GQ9" s="53"/>
      <c r="GR9" s="53"/>
      <c r="GS9" s="53"/>
      <c r="GT9" s="53"/>
      <c r="GU9" s="53"/>
      <c r="GV9" s="53"/>
      <c r="GW9" s="53"/>
      <c r="GX9" s="53"/>
      <c r="GY9" s="53"/>
      <c r="GZ9" s="53"/>
      <c r="HA9" s="53"/>
      <c r="HB9" s="53"/>
      <c r="HC9" s="53"/>
      <c r="HD9" s="53"/>
    </row>
    <row r="10" spans="1:212" s="20" customFormat="1" ht="5.25" customHeight="1" thickBot="1">
      <c r="D10" s="24"/>
      <c r="G10" s="58"/>
      <c r="FK10" s="12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</row>
    <row r="11" spans="1:212" s="5" customFormat="1" ht="16.7" hidden="1" customHeight="1" thickBot="1">
      <c r="A11" s="11"/>
      <c r="B11" s="81" t="s">
        <v>23</v>
      </c>
      <c r="C11" s="82"/>
      <c r="D11" s="35" t="s">
        <v>24</v>
      </c>
      <c r="E11" s="36"/>
      <c r="F11" s="70"/>
      <c r="G11" s="59">
        <v>4</v>
      </c>
      <c r="H11" s="85"/>
      <c r="I11" s="87"/>
      <c r="J11" s="27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9"/>
      <c r="FK11" s="12"/>
      <c r="FL11" s="54"/>
      <c r="FM11" s="54"/>
      <c r="FN11" s="54"/>
      <c r="FO11" s="54"/>
      <c r="FP11" s="54"/>
      <c r="FQ11" s="54"/>
      <c r="FR11" s="54"/>
      <c r="FS11" s="54"/>
      <c r="FT11" s="54"/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54"/>
      <c r="GQ11" s="54"/>
      <c r="GR11" s="54"/>
      <c r="GS11" s="54"/>
      <c r="GT11" s="54"/>
      <c r="GU11" s="54"/>
      <c r="GV11" s="54"/>
      <c r="GW11" s="54"/>
      <c r="GX11" s="54"/>
      <c r="GY11" s="54"/>
      <c r="GZ11" s="54"/>
      <c r="HA11" s="54"/>
      <c r="HB11" s="54"/>
    </row>
    <row r="12" spans="1:212" s="5" customFormat="1" ht="15.75" hidden="1" thickBot="1">
      <c r="A12" s="11"/>
      <c r="B12" s="83"/>
      <c r="C12" s="84"/>
      <c r="D12" s="37" t="s">
        <v>25</v>
      </c>
      <c r="E12" s="38"/>
      <c r="F12" s="38"/>
      <c r="G12" s="60"/>
      <c r="H12" s="86"/>
      <c r="I12" s="87"/>
      <c r="J12" s="30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17"/>
      <c r="FJ12" s="31"/>
      <c r="FK12" s="12"/>
      <c r="FL12" s="54"/>
      <c r="FM12" s="54"/>
      <c r="FN12" s="54"/>
      <c r="FO12" s="54"/>
      <c r="FP12" s="54"/>
      <c r="FQ12" s="54"/>
      <c r="FR12" s="54"/>
      <c r="FS12" s="54"/>
      <c r="FT12" s="54"/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54"/>
      <c r="GQ12" s="54"/>
      <c r="GR12" s="54"/>
      <c r="GS12" s="54"/>
      <c r="GT12" s="54"/>
      <c r="GU12" s="54"/>
      <c r="GV12" s="54"/>
      <c r="GW12" s="54"/>
      <c r="GX12" s="54"/>
      <c r="GY12" s="54"/>
      <c r="GZ12" s="54"/>
      <c r="HA12" s="54"/>
      <c r="HB12" s="54"/>
    </row>
    <row r="13" spans="1:212" s="5" customFormat="1" ht="5.25" hidden="1" customHeight="1">
      <c r="A13" s="11"/>
      <c r="B13" s="80"/>
      <c r="C13" s="80"/>
      <c r="D13" s="8"/>
      <c r="E13" s="9"/>
      <c r="F13" s="9"/>
      <c r="G13" s="61"/>
      <c r="H13" s="9"/>
      <c r="I13" s="9"/>
      <c r="J13" s="30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31"/>
      <c r="FK13" s="12"/>
      <c r="FL13" s="54"/>
      <c r="FM13" s="54"/>
      <c r="FN13" s="54"/>
      <c r="FO13" s="54"/>
      <c r="FP13" s="54"/>
      <c r="FQ13" s="54"/>
      <c r="FR13" s="54"/>
      <c r="FS13" s="54"/>
      <c r="FT13" s="54"/>
      <c r="FU13" s="54"/>
      <c r="FV13" s="54"/>
      <c r="FW13" s="54"/>
      <c r="FX13" s="54"/>
      <c r="FY13" s="54"/>
      <c r="FZ13" s="54"/>
      <c r="GA13" s="54"/>
      <c r="GB13" s="54"/>
      <c r="GC13" s="54"/>
      <c r="GD13" s="54"/>
      <c r="GE13" s="54"/>
      <c r="GF13" s="54"/>
      <c r="GG13" s="54"/>
      <c r="GH13" s="54"/>
      <c r="GI13" s="54"/>
      <c r="GJ13" s="54"/>
      <c r="GK13" s="54"/>
      <c r="GL13" s="54"/>
      <c r="GM13" s="54"/>
      <c r="GN13" s="54"/>
      <c r="GO13" s="54"/>
      <c r="GP13" s="54"/>
      <c r="GQ13" s="54"/>
      <c r="GR13" s="54"/>
      <c r="GS13" s="54"/>
      <c r="GT13" s="54"/>
      <c r="GU13" s="54"/>
      <c r="GV13" s="54"/>
      <c r="GW13" s="54"/>
      <c r="GX13" s="54"/>
      <c r="GY13" s="54"/>
      <c r="GZ13" s="54"/>
      <c r="HA13" s="54"/>
      <c r="HB13" s="54"/>
    </row>
    <row r="14" spans="1:212" s="5" customFormat="1" ht="13.5" hidden="1" customHeight="1">
      <c r="A14" s="11"/>
      <c r="B14" s="81"/>
      <c r="C14" s="82"/>
      <c r="D14" s="35" t="s">
        <v>24</v>
      </c>
      <c r="E14" s="36"/>
      <c r="F14" s="70"/>
      <c r="G14" s="59">
        <f>4+(7*8)</f>
        <v>60</v>
      </c>
      <c r="H14" s="85"/>
      <c r="I14" s="87"/>
      <c r="J14" s="30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31"/>
      <c r="FK14" s="12"/>
      <c r="FL14" s="54"/>
      <c r="FM14" s="54"/>
      <c r="FN14" s="54"/>
      <c r="FO14" s="54"/>
      <c r="FP14" s="54"/>
      <c r="FQ14" s="54"/>
      <c r="FR14" s="54"/>
      <c r="FS14" s="54"/>
      <c r="FT14" s="54"/>
      <c r="FU14" s="54"/>
      <c r="FV14" s="54"/>
      <c r="FW14" s="54"/>
      <c r="FX14" s="54"/>
      <c r="FY14" s="54"/>
      <c r="FZ14" s="54"/>
      <c r="GA14" s="54"/>
      <c r="GB14" s="54"/>
      <c r="GC14" s="54"/>
      <c r="GD14" s="54"/>
      <c r="GE14" s="54"/>
      <c r="GF14" s="54"/>
      <c r="GG14" s="54"/>
      <c r="GH14" s="54"/>
      <c r="GI14" s="54"/>
      <c r="GJ14" s="54"/>
      <c r="GK14" s="54"/>
      <c r="GL14" s="54"/>
      <c r="GM14" s="54"/>
      <c r="GN14" s="54"/>
      <c r="GO14" s="54"/>
      <c r="GP14" s="54"/>
      <c r="GQ14" s="54"/>
      <c r="GR14" s="54"/>
      <c r="GS14" s="54"/>
      <c r="GT14" s="54"/>
      <c r="GU14" s="54"/>
      <c r="GV14" s="54"/>
      <c r="GW14" s="54"/>
      <c r="GX14" s="54"/>
      <c r="GY14" s="54"/>
      <c r="GZ14" s="54"/>
      <c r="HA14" s="54"/>
      <c r="HB14" s="54"/>
    </row>
    <row r="15" spans="1:212" s="5" customFormat="1" ht="13.5" hidden="1" customHeight="1">
      <c r="A15" s="11"/>
      <c r="B15" s="83"/>
      <c r="C15" s="84"/>
      <c r="D15" s="37" t="s">
        <v>25</v>
      </c>
      <c r="E15" s="38"/>
      <c r="F15" s="38"/>
      <c r="G15" s="60"/>
      <c r="H15" s="86"/>
      <c r="I15" s="87"/>
      <c r="J15" s="30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31"/>
      <c r="FK15" s="12"/>
      <c r="FL15" s="54"/>
      <c r="FM15" s="54"/>
      <c r="FN15" s="54"/>
      <c r="FO15" s="54"/>
      <c r="FP15" s="54"/>
      <c r="FQ15" s="54"/>
      <c r="FR15" s="54"/>
      <c r="FS15" s="54"/>
      <c r="FT15" s="54"/>
      <c r="FU15" s="54"/>
      <c r="FV15" s="54"/>
      <c r="FW15" s="54"/>
      <c r="FX15" s="54"/>
      <c r="FY15" s="54"/>
      <c r="FZ15" s="54"/>
      <c r="GA15" s="54"/>
      <c r="GB15" s="54"/>
      <c r="GC15" s="54"/>
      <c r="GD15" s="54"/>
      <c r="GE15" s="54"/>
      <c r="GF15" s="54"/>
      <c r="GG15" s="54"/>
      <c r="GH15" s="54"/>
      <c r="GI15" s="54"/>
      <c r="GJ15" s="54"/>
      <c r="GK15" s="54"/>
      <c r="GL15" s="54"/>
      <c r="GM15" s="54"/>
      <c r="GN15" s="54"/>
      <c r="GO15" s="54"/>
      <c r="GP15" s="54"/>
      <c r="GQ15" s="54"/>
      <c r="GR15" s="54"/>
      <c r="GS15" s="54"/>
      <c r="GT15" s="54"/>
      <c r="GU15" s="54"/>
      <c r="GV15" s="54"/>
      <c r="GW15" s="54"/>
      <c r="GX15" s="54"/>
      <c r="GY15" s="54"/>
      <c r="GZ15" s="54"/>
      <c r="HA15" s="54"/>
      <c r="HB15" s="54"/>
    </row>
    <row r="16" spans="1:212" s="5" customFormat="1" ht="5.25" hidden="1" customHeight="1">
      <c r="A16" s="11"/>
      <c r="B16" s="80"/>
      <c r="C16" s="80"/>
      <c r="D16" s="8"/>
      <c r="E16" s="9"/>
      <c r="F16" s="9"/>
      <c r="G16" s="61"/>
      <c r="H16" s="9"/>
      <c r="I16" s="9"/>
      <c r="J16" s="30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31"/>
      <c r="FK16" s="12"/>
      <c r="FL16" s="54"/>
      <c r="FM16" s="54"/>
      <c r="FN16" s="54"/>
      <c r="FO16" s="54"/>
      <c r="FP16" s="54"/>
      <c r="FQ16" s="54"/>
      <c r="FR16" s="54"/>
      <c r="FS16" s="54"/>
      <c r="FT16" s="54"/>
      <c r="FU16" s="54"/>
      <c r="FV16" s="54"/>
      <c r="FW16" s="54"/>
      <c r="FX16" s="54"/>
      <c r="FY16" s="54"/>
      <c r="FZ16" s="54"/>
      <c r="GA16" s="54"/>
      <c r="GB16" s="54"/>
      <c r="GC16" s="54"/>
      <c r="GD16" s="54"/>
      <c r="GE16" s="54"/>
      <c r="GF16" s="54"/>
      <c r="GG16" s="54"/>
      <c r="GH16" s="54"/>
      <c r="GI16" s="54"/>
      <c r="GJ16" s="54"/>
      <c r="GK16" s="54"/>
      <c r="GL16" s="54"/>
      <c r="GM16" s="54"/>
      <c r="GN16" s="54"/>
      <c r="GO16" s="54"/>
      <c r="GP16" s="54"/>
      <c r="GQ16" s="54"/>
      <c r="GR16" s="54"/>
      <c r="GS16" s="54"/>
      <c r="GT16" s="54"/>
      <c r="GU16" s="54"/>
      <c r="GV16" s="54"/>
      <c r="GW16" s="54"/>
      <c r="GX16" s="54"/>
      <c r="GY16" s="54"/>
      <c r="GZ16" s="54"/>
      <c r="HA16" s="54"/>
      <c r="HB16" s="54"/>
    </row>
    <row r="17" spans="1:212" s="5" customFormat="1" ht="13.5" customHeight="1">
      <c r="A17" s="11"/>
      <c r="B17" s="81" t="s">
        <v>26</v>
      </c>
      <c r="C17" s="82"/>
      <c r="D17" s="35" t="s">
        <v>24</v>
      </c>
      <c r="E17" s="36">
        <v>44949</v>
      </c>
      <c r="F17" s="70">
        <v>44951</v>
      </c>
      <c r="G17" s="59">
        <f>_xlfn.DAYS(F17, E17)</f>
        <v>2</v>
      </c>
      <c r="H17" s="85" t="s">
        <v>27</v>
      </c>
      <c r="I17" s="87"/>
      <c r="J17" s="30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31"/>
      <c r="FK17" s="12"/>
      <c r="FL17" s="54"/>
      <c r="FM17" s="54"/>
      <c r="FN17" s="54"/>
      <c r="FO17" s="54"/>
      <c r="FP17" s="54"/>
      <c r="FQ17" s="54"/>
      <c r="FR17" s="54"/>
      <c r="FS17" s="54"/>
      <c r="FT17" s="54"/>
      <c r="FU17" s="54"/>
      <c r="FV17" s="54"/>
      <c r="FW17" s="54"/>
      <c r="FX17" s="54"/>
      <c r="FY17" s="54"/>
      <c r="FZ17" s="54"/>
      <c r="GA17" s="54"/>
      <c r="GB17" s="54"/>
      <c r="GC17" s="54"/>
      <c r="GD17" s="54"/>
      <c r="GE17" s="54"/>
      <c r="GF17" s="54"/>
      <c r="GG17" s="54"/>
      <c r="GH17" s="54"/>
      <c r="GI17" s="54"/>
      <c r="GJ17" s="54"/>
      <c r="GK17" s="54"/>
      <c r="GL17" s="54"/>
      <c r="GM17" s="54"/>
      <c r="GN17" s="54"/>
      <c r="GO17" s="54"/>
      <c r="GP17" s="54"/>
      <c r="GQ17" s="54"/>
      <c r="GR17" s="54"/>
      <c r="GS17" s="54"/>
      <c r="GT17" s="54"/>
      <c r="GU17" s="54"/>
      <c r="GV17" s="54"/>
      <c r="GW17" s="54"/>
      <c r="GX17" s="54"/>
      <c r="GY17" s="54"/>
      <c r="GZ17" s="54"/>
      <c r="HA17" s="54"/>
      <c r="HB17" s="54"/>
    </row>
    <row r="18" spans="1:212" s="5" customFormat="1" ht="13.35" customHeight="1" thickBot="1">
      <c r="A18" s="11"/>
      <c r="B18" s="83"/>
      <c r="C18" s="84"/>
      <c r="D18" s="37" t="s">
        <v>25</v>
      </c>
      <c r="E18" s="38"/>
      <c r="F18" s="38"/>
      <c r="G18" s="60">
        <f>_xlfn.DAYS(F18, E18)</f>
        <v>0</v>
      </c>
      <c r="H18" s="86"/>
      <c r="I18" s="87"/>
      <c r="J18" s="30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79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31"/>
      <c r="FK18" s="12"/>
      <c r="FL18" s="54"/>
      <c r="FM18" s="54"/>
      <c r="FN18" s="54"/>
      <c r="FO18" s="54"/>
      <c r="FP18" s="54"/>
      <c r="FQ18" s="54"/>
      <c r="FR18" s="54"/>
      <c r="FS18" s="54"/>
      <c r="FT18" s="54"/>
      <c r="FU18" s="54"/>
      <c r="FV18" s="54"/>
      <c r="FW18" s="54"/>
      <c r="FX18" s="54"/>
      <c r="FY18" s="54"/>
      <c r="FZ18" s="54"/>
      <c r="GA18" s="54"/>
      <c r="GB18" s="54"/>
      <c r="GC18" s="54"/>
      <c r="GD18" s="54"/>
      <c r="GE18" s="54"/>
      <c r="GF18" s="54"/>
      <c r="GG18" s="54"/>
      <c r="GH18" s="54"/>
      <c r="GI18" s="54"/>
      <c r="GJ18" s="54"/>
      <c r="GK18" s="54"/>
      <c r="GL18" s="54"/>
      <c r="GM18" s="54"/>
      <c r="GN18" s="54"/>
      <c r="GO18" s="54"/>
      <c r="GP18" s="54"/>
      <c r="GQ18" s="54"/>
      <c r="GR18" s="54"/>
      <c r="GS18" s="54"/>
      <c r="GT18" s="54"/>
      <c r="GU18" s="54"/>
      <c r="GV18" s="54"/>
      <c r="GW18" s="54"/>
      <c r="GX18" s="54"/>
      <c r="GY18" s="54"/>
      <c r="GZ18" s="54"/>
      <c r="HA18" s="54"/>
      <c r="HB18" s="54"/>
    </row>
    <row r="19" spans="1:212" s="5" customFormat="1" ht="5.25" customHeight="1" thickBot="1">
      <c r="A19" s="11"/>
      <c r="B19" s="80"/>
      <c r="C19" s="80"/>
      <c r="D19" s="8"/>
      <c r="E19" s="9"/>
      <c r="F19" s="9"/>
      <c r="G19" s="61"/>
      <c r="H19" s="9"/>
      <c r="I19" s="9"/>
      <c r="J19" s="30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31"/>
      <c r="FK19" s="12"/>
      <c r="FL19" s="54"/>
      <c r="FM19" s="54"/>
      <c r="FN19" s="54"/>
      <c r="FO19" s="54"/>
      <c r="FP19" s="54"/>
      <c r="FQ19" s="54"/>
      <c r="FR19" s="54"/>
      <c r="FS19" s="54"/>
      <c r="FT19" s="54"/>
      <c r="FU19" s="54"/>
      <c r="FV19" s="54"/>
      <c r="FW19" s="54"/>
      <c r="FX19" s="54"/>
      <c r="FY19" s="54"/>
      <c r="FZ19" s="54"/>
      <c r="GA19" s="54"/>
      <c r="GB19" s="54"/>
      <c r="GC19" s="54"/>
      <c r="GD19" s="54"/>
      <c r="GE19" s="54"/>
      <c r="GF19" s="54"/>
      <c r="GG19" s="54"/>
      <c r="GH19" s="54"/>
      <c r="GI19" s="54"/>
      <c r="GJ19" s="54"/>
      <c r="GK19" s="54"/>
      <c r="GL19" s="54"/>
      <c r="GM19" s="54"/>
      <c r="GN19" s="54"/>
      <c r="GO19" s="54"/>
      <c r="GP19" s="54"/>
      <c r="GQ19" s="54"/>
      <c r="GR19" s="54"/>
      <c r="GS19" s="54"/>
      <c r="GT19" s="54"/>
      <c r="GU19" s="54"/>
      <c r="GV19" s="54"/>
      <c r="GW19" s="54"/>
      <c r="GX19" s="54"/>
      <c r="GY19" s="54"/>
      <c r="GZ19" s="54"/>
      <c r="HA19" s="54"/>
      <c r="HB19" s="54"/>
    </row>
    <row r="20" spans="1:212" s="5" customFormat="1" ht="13.5" customHeight="1">
      <c r="A20" s="11"/>
      <c r="B20" s="81" t="s">
        <v>28</v>
      </c>
      <c r="C20" s="82"/>
      <c r="D20" s="35" t="s">
        <v>24</v>
      </c>
      <c r="E20" s="36">
        <v>44949</v>
      </c>
      <c r="F20" s="70">
        <v>44951</v>
      </c>
      <c r="G20" s="59">
        <f>_xlfn.DAYS(F20, E20)</f>
        <v>2</v>
      </c>
      <c r="H20" s="85" t="s">
        <v>27</v>
      </c>
      <c r="I20" s="87"/>
      <c r="J20" s="30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31"/>
      <c r="FK20" s="12"/>
      <c r="FL20" s="54"/>
      <c r="FM20" s="54"/>
      <c r="FN20" s="54"/>
      <c r="FO20" s="54"/>
      <c r="FP20" s="54"/>
      <c r="FQ20" s="54"/>
      <c r="FR20" s="54"/>
      <c r="FS20" s="54"/>
      <c r="FT20" s="54"/>
      <c r="FU20" s="54"/>
      <c r="FV20" s="54"/>
      <c r="FW20" s="54"/>
      <c r="FX20" s="54"/>
      <c r="FY20" s="54"/>
      <c r="FZ20" s="54"/>
      <c r="GA20" s="54"/>
      <c r="GB20" s="54"/>
      <c r="GC20" s="54"/>
      <c r="GD20" s="54"/>
      <c r="GE20" s="54"/>
      <c r="GF20" s="54"/>
      <c r="GG20" s="54"/>
      <c r="GH20" s="54"/>
      <c r="GI20" s="54"/>
      <c r="GJ20" s="54"/>
      <c r="GK20" s="54"/>
      <c r="GL20" s="54"/>
      <c r="GM20" s="54"/>
      <c r="GN20" s="54"/>
      <c r="GO20" s="54"/>
      <c r="GP20" s="54"/>
      <c r="GQ20" s="54"/>
      <c r="GR20" s="54"/>
      <c r="GS20" s="54"/>
      <c r="GT20" s="54"/>
      <c r="GU20" s="54"/>
      <c r="GV20" s="54"/>
      <c r="GW20" s="54"/>
      <c r="GX20" s="54"/>
      <c r="GY20" s="54"/>
      <c r="GZ20" s="54"/>
      <c r="HA20" s="54"/>
      <c r="HB20" s="54"/>
    </row>
    <row r="21" spans="1:212" s="5" customFormat="1" ht="13.5" customHeight="1" thickBot="1">
      <c r="A21" s="11"/>
      <c r="B21" s="83"/>
      <c r="C21" s="84"/>
      <c r="D21" s="37" t="s">
        <v>25</v>
      </c>
      <c r="E21" s="38"/>
      <c r="F21" s="38"/>
      <c r="G21" s="60">
        <f>_xlfn.DAYS(F21, E21)</f>
        <v>0</v>
      </c>
      <c r="H21" s="86"/>
      <c r="I21" s="87"/>
      <c r="J21" s="30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31"/>
      <c r="FK21" s="12"/>
      <c r="FL21" s="54"/>
      <c r="FM21" s="54"/>
      <c r="FN21" s="54"/>
      <c r="FO21" s="54"/>
      <c r="FP21" s="54"/>
      <c r="FQ21" s="54"/>
      <c r="FR21" s="54"/>
      <c r="FS21" s="54"/>
      <c r="FT21" s="54"/>
      <c r="FU21" s="54"/>
      <c r="FV21" s="54"/>
      <c r="FW21" s="54"/>
      <c r="FX21" s="54"/>
      <c r="FY21" s="54"/>
      <c r="FZ21" s="54"/>
      <c r="GA21" s="54"/>
      <c r="GB21" s="54"/>
      <c r="GC21" s="54"/>
      <c r="GD21" s="54"/>
      <c r="GE21" s="54"/>
      <c r="GF21" s="54"/>
      <c r="GG21" s="54"/>
      <c r="GH21" s="54"/>
      <c r="GI21" s="54"/>
      <c r="GJ21" s="54"/>
      <c r="GK21" s="54"/>
      <c r="GL21" s="54"/>
      <c r="GM21" s="54"/>
      <c r="GN21" s="54"/>
      <c r="GO21" s="54"/>
      <c r="GP21" s="54"/>
      <c r="GQ21" s="54"/>
      <c r="GR21" s="54"/>
      <c r="GS21" s="54"/>
      <c r="GT21" s="54"/>
      <c r="GU21" s="54"/>
      <c r="GV21" s="54"/>
      <c r="GW21" s="54"/>
      <c r="GX21" s="54"/>
      <c r="GY21" s="54"/>
      <c r="GZ21" s="54"/>
      <c r="HA21" s="54"/>
      <c r="HB21" s="54"/>
    </row>
    <row r="22" spans="1:212" s="5" customFormat="1" ht="5.25" customHeight="1" thickBot="1">
      <c r="A22" s="11"/>
      <c r="B22" s="80"/>
      <c r="C22" s="80"/>
      <c r="D22" s="8"/>
      <c r="E22" s="9"/>
      <c r="F22" s="9"/>
      <c r="G22" s="61"/>
      <c r="H22" s="9"/>
      <c r="I22" s="9"/>
      <c r="J22" s="65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31"/>
      <c r="FK22" s="12"/>
      <c r="FL22" s="54"/>
      <c r="FM22" s="54"/>
      <c r="FN22" s="54"/>
      <c r="FO22" s="54"/>
      <c r="FP22" s="54"/>
      <c r="FQ22" s="54"/>
      <c r="FR22" s="54"/>
      <c r="FS22" s="54"/>
      <c r="FT22" s="54"/>
      <c r="FU22" s="54"/>
      <c r="FV22" s="54"/>
      <c r="FW22" s="54"/>
      <c r="FX22" s="54"/>
      <c r="FY22" s="54"/>
      <c r="FZ22" s="54"/>
      <c r="GA22" s="54"/>
      <c r="GB22" s="54"/>
      <c r="GC22" s="54"/>
      <c r="GD22" s="54"/>
      <c r="GE22" s="54"/>
      <c r="GF22" s="54"/>
      <c r="GG22" s="54"/>
      <c r="GH22" s="54"/>
      <c r="GI22" s="54"/>
      <c r="GJ22" s="54"/>
      <c r="GK22" s="54"/>
      <c r="GL22" s="54"/>
      <c r="GM22" s="54"/>
      <c r="GN22" s="54"/>
      <c r="GO22" s="54"/>
      <c r="GP22" s="54"/>
      <c r="GQ22" s="54"/>
      <c r="GR22" s="54"/>
      <c r="GS22" s="54"/>
      <c r="GT22" s="54"/>
      <c r="GU22" s="54"/>
      <c r="GV22" s="54"/>
      <c r="GW22" s="54"/>
      <c r="GX22" s="54"/>
      <c r="GY22" s="54"/>
      <c r="GZ22" s="54"/>
      <c r="HA22" s="54"/>
      <c r="HB22" s="54"/>
    </row>
    <row r="23" spans="1:212" s="5" customFormat="1" ht="13.5" customHeight="1">
      <c r="A23" s="11"/>
      <c r="B23" s="81" t="s">
        <v>29</v>
      </c>
      <c r="C23" s="82"/>
      <c r="D23" s="35" t="s">
        <v>24</v>
      </c>
      <c r="E23" s="36">
        <v>44952</v>
      </c>
      <c r="F23" s="70">
        <v>44960</v>
      </c>
      <c r="G23" s="59">
        <f>_xlfn.DAYS(F23, E23)</f>
        <v>8</v>
      </c>
      <c r="H23" s="85" t="s">
        <v>30</v>
      </c>
      <c r="I23" s="87"/>
      <c r="J23" s="30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31"/>
      <c r="FK23" s="12"/>
      <c r="FL23" s="54"/>
      <c r="FM23" s="54"/>
      <c r="FN23" s="54"/>
      <c r="FO23" s="54"/>
      <c r="FP23" s="54"/>
      <c r="FQ23" s="54"/>
      <c r="FR23" s="54"/>
      <c r="FS23" s="54"/>
      <c r="FT23" s="54"/>
      <c r="FU23" s="54"/>
      <c r="FV23" s="54"/>
      <c r="FW23" s="54"/>
      <c r="FX23" s="54"/>
      <c r="FY23" s="54"/>
      <c r="FZ23" s="54"/>
      <c r="GA23" s="54"/>
      <c r="GB23" s="54"/>
      <c r="GC23" s="54"/>
      <c r="GD23" s="54"/>
      <c r="GE23" s="54"/>
      <c r="GF23" s="54"/>
      <c r="GG23" s="54"/>
      <c r="GH23" s="54"/>
      <c r="GI23" s="54"/>
      <c r="GJ23" s="54"/>
      <c r="GK23" s="54"/>
      <c r="GL23" s="54"/>
      <c r="GM23" s="54"/>
      <c r="GN23" s="54"/>
      <c r="GO23" s="54"/>
      <c r="GP23" s="54"/>
      <c r="GQ23" s="54"/>
      <c r="GR23" s="54"/>
      <c r="GS23" s="54"/>
      <c r="GT23" s="54"/>
      <c r="GU23" s="54"/>
      <c r="GV23" s="54"/>
      <c r="GW23" s="54"/>
      <c r="GX23" s="54"/>
      <c r="GY23" s="54"/>
      <c r="GZ23" s="54"/>
      <c r="HA23" s="54"/>
      <c r="HB23" s="54"/>
    </row>
    <row r="24" spans="1:212" s="5" customFormat="1" ht="13.5" customHeight="1" thickBot="1">
      <c r="A24" s="11"/>
      <c r="B24" s="83"/>
      <c r="C24" s="84"/>
      <c r="D24" s="37" t="s">
        <v>25</v>
      </c>
      <c r="E24" s="38"/>
      <c r="F24" s="38"/>
      <c r="G24" s="60">
        <f>_xlfn.DAYS(F24, E24)</f>
        <v>0</v>
      </c>
      <c r="H24" s="86"/>
      <c r="I24" s="87"/>
      <c r="J24" s="30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31"/>
      <c r="FK24" s="12"/>
      <c r="FL24" s="54"/>
      <c r="FM24" s="54"/>
      <c r="FN24" s="54"/>
      <c r="FO24" s="54"/>
      <c r="FP24" s="54"/>
      <c r="FQ24" s="54"/>
      <c r="FR24" s="54"/>
      <c r="FS24" s="54"/>
      <c r="FT24" s="54"/>
      <c r="FU24" s="54"/>
      <c r="FV24" s="54"/>
      <c r="FW24" s="54"/>
      <c r="FX24" s="54"/>
      <c r="FY24" s="54"/>
      <c r="FZ24" s="54"/>
      <c r="GA24" s="54"/>
      <c r="GB24" s="54"/>
      <c r="GC24" s="54"/>
      <c r="GD24" s="54"/>
      <c r="GE24" s="54"/>
      <c r="GF24" s="54"/>
      <c r="GG24" s="54"/>
      <c r="GH24" s="54"/>
      <c r="GI24" s="54"/>
      <c r="GJ24" s="54"/>
      <c r="GK24" s="54"/>
      <c r="GL24" s="54"/>
      <c r="GM24" s="54"/>
      <c r="GN24" s="54"/>
      <c r="GO24" s="54"/>
      <c r="GP24" s="54"/>
      <c r="GQ24" s="54"/>
      <c r="GR24" s="54"/>
      <c r="GS24" s="54"/>
      <c r="GT24" s="54"/>
      <c r="GU24" s="54"/>
      <c r="GV24" s="54"/>
      <c r="GW24" s="54"/>
      <c r="GX24" s="54"/>
      <c r="GY24" s="54"/>
      <c r="GZ24" s="54"/>
      <c r="HA24" s="54"/>
      <c r="HB24" s="54"/>
    </row>
    <row r="25" spans="1:212" s="5" customFormat="1" ht="5.25" customHeight="1" thickBot="1">
      <c r="A25" s="11"/>
      <c r="B25" s="80"/>
      <c r="C25" s="80"/>
      <c r="D25" s="8"/>
      <c r="E25" s="9"/>
      <c r="F25" s="9"/>
      <c r="G25" s="61"/>
      <c r="H25" s="9"/>
      <c r="I25" s="9"/>
      <c r="J25" s="65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31"/>
      <c r="FK25" s="12"/>
      <c r="FL25" s="54"/>
      <c r="FM25" s="54"/>
      <c r="FN25" s="54"/>
      <c r="FO25" s="54"/>
      <c r="FP25" s="54"/>
      <c r="FQ25" s="54"/>
      <c r="FR25" s="54"/>
      <c r="FS25" s="54"/>
      <c r="FT25" s="54"/>
      <c r="FU25" s="54"/>
      <c r="FV25" s="54"/>
      <c r="FW25" s="54"/>
      <c r="FX25" s="54"/>
      <c r="FY25" s="54"/>
      <c r="FZ25" s="54"/>
      <c r="GA25" s="54"/>
      <c r="GB25" s="54"/>
      <c r="GC25" s="54"/>
      <c r="GD25" s="54"/>
      <c r="GE25" s="54"/>
      <c r="GF25" s="54"/>
      <c r="GG25" s="54"/>
      <c r="GH25" s="54"/>
      <c r="GI25" s="54"/>
      <c r="GJ25" s="54"/>
      <c r="GK25" s="54"/>
      <c r="GL25" s="54"/>
      <c r="GM25" s="54"/>
      <c r="GN25" s="54"/>
      <c r="GO25" s="54"/>
      <c r="GP25" s="54"/>
      <c r="GQ25" s="54"/>
      <c r="GR25" s="54"/>
      <c r="GS25" s="54"/>
      <c r="GT25" s="54"/>
      <c r="GU25" s="54"/>
      <c r="GV25" s="54"/>
      <c r="GW25" s="54"/>
      <c r="GX25" s="54"/>
      <c r="GY25" s="54"/>
      <c r="GZ25" s="54"/>
      <c r="HA25" s="54"/>
      <c r="HB25" s="54"/>
    </row>
    <row r="26" spans="1:212" s="5" customFormat="1" ht="13.5" customHeight="1">
      <c r="A26" s="11"/>
      <c r="B26" s="81" t="s">
        <v>31</v>
      </c>
      <c r="C26" s="82"/>
      <c r="D26" s="35" t="s">
        <v>24</v>
      </c>
      <c r="E26" s="36">
        <v>44952</v>
      </c>
      <c r="F26" s="70">
        <v>44970</v>
      </c>
      <c r="G26" s="59">
        <f>_xlfn.DAYS(F26, E26)</f>
        <v>18</v>
      </c>
      <c r="H26" s="85" t="s">
        <v>32</v>
      </c>
      <c r="I26" s="87"/>
      <c r="J26" s="30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31"/>
      <c r="FK26" s="12"/>
      <c r="FL26" s="54"/>
      <c r="FM26" s="54"/>
      <c r="FN26" s="54"/>
      <c r="FO26" s="54"/>
      <c r="FP26" s="54"/>
      <c r="FQ26" s="54"/>
      <c r="FR26" s="54"/>
      <c r="FS26" s="54"/>
      <c r="FT26" s="54"/>
      <c r="FU26" s="54"/>
      <c r="FV26" s="54"/>
      <c r="FW26" s="54"/>
      <c r="FX26" s="54"/>
      <c r="FY26" s="54"/>
      <c r="FZ26" s="54"/>
      <c r="GA26" s="54"/>
      <c r="GB26" s="54"/>
      <c r="GC26" s="54"/>
      <c r="GD26" s="54"/>
      <c r="GE26" s="54"/>
      <c r="GF26" s="54"/>
      <c r="GG26" s="54"/>
      <c r="GH26" s="54"/>
      <c r="GI26" s="54"/>
      <c r="GJ26" s="54"/>
      <c r="GK26" s="54"/>
      <c r="GL26" s="54"/>
      <c r="GM26" s="54"/>
      <c r="GN26" s="54"/>
      <c r="GO26" s="54"/>
      <c r="GP26" s="54"/>
      <c r="GQ26" s="54"/>
      <c r="GR26" s="54"/>
      <c r="GS26" s="54"/>
      <c r="GT26" s="54"/>
      <c r="GU26" s="54"/>
      <c r="GV26" s="54"/>
      <c r="GW26" s="54"/>
      <c r="GX26" s="54"/>
      <c r="GY26" s="54"/>
      <c r="GZ26" s="54"/>
      <c r="HA26" s="54"/>
      <c r="HB26" s="54"/>
    </row>
    <row r="27" spans="1:212" s="5" customFormat="1" ht="13.5" customHeight="1" thickBot="1">
      <c r="A27" s="11"/>
      <c r="B27" s="83"/>
      <c r="C27" s="84"/>
      <c r="D27" s="37" t="s">
        <v>25</v>
      </c>
      <c r="E27" s="38"/>
      <c r="F27" s="38"/>
      <c r="G27" s="60">
        <f>_xlfn.DAYS(F27, E27)</f>
        <v>0</v>
      </c>
      <c r="H27" s="86"/>
      <c r="I27" s="87"/>
      <c r="J27" s="30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31"/>
      <c r="FK27" s="12"/>
      <c r="FL27" s="54"/>
      <c r="FM27" s="54"/>
      <c r="FN27" s="54"/>
      <c r="FO27" s="54"/>
      <c r="FP27" s="54"/>
      <c r="FQ27" s="54"/>
      <c r="FR27" s="54"/>
      <c r="FS27" s="54"/>
      <c r="FT27" s="54"/>
      <c r="FU27" s="54"/>
      <c r="FV27" s="54"/>
      <c r="FW27" s="54"/>
      <c r="FX27" s="54"/>
      <c r="FY27" s="54"/>
      <c r="FZ27" s="54"/>
      <c r="GA27" s="54"/>
      <c r="GB27" s="54"/>
      <c r="GC27" s="54"/>
      <c r="GD27" s="54"/>
      <c r="GE27" s="54"/>
      <c r="GF27" s="54"/>
      <c r="GG27" s="54"/>
      <c r="GH27" s="54"/>
      <c r="GI27" s="54"/>
      <c r="GJ27" s="54"/>
      <c r="GK27" s="54"/>
      <c r="GL27" s="54"/>
      <c r="GM27" s="54"/>
      <c r="GN27" s="54"/>
      <c r="GO27" s="54"/>
      <c r="GP27" s="54"/>
      <c r="GQ27" s="54"/>
      <c r="GR27" s="54"/>
      <c r="GS27" s="54"/>
      <c r="GT27" s="54"/>
      <c r="GU27" s="54"/>
      <c r="GV27" s="54"/>
      <c r="GW27" s="54"/>
      <c r="GX27" s="54"/>
      <c r="GY27" s="54"/>
      <c r="GZ27" s="54"/>
      <c r="HA27" s="54"/>
      <c r="HB27" s="54"/>
    </row>
    <row r="28" spans="1:212" s="5" customFormat="1" ht="5.25" customHeight="1" thickBot="1">
      <c r="A28" s="11"/>
      <c r="B28" s="80"/>
      <c r="C28" s="80"/>
      <c r="D28" s="8"/>
      <c r="E28" s="9"/>
      <c r="F28" s="9"/>
      <c r="G28" s="61"/>
      <c r="H28" s="9"/>
      <c r="I28" s="9"/>
      <c r="J28" s="65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31"/>
      <c r="FK28" s="12"/>
      <c r="FL28" s="54"/>
      <c r="FM28" s="54"/>
      <c r="FN28" s="54"/>
      <c r="FO28" s="54"/>
      <c r="FP28" s="54"/>
      <c r="FQ28" s="54"/>
      <c r="FR28" s="54"/>
      <c r="FS28" s="54"/>
      <c r="FT28" s="54"/>
      <c r="FU28" s="54"/>
      <c r="FV28" s="54"/>
      <c r="FW28" s="54"/>
      <c r="FX28" s="54"/>
      <c r="FY28" s="54"/>
      <c r="FZ28" s="54"/>
      <c r="GA28" s="54"/>
      <c r="GB28" s="54"/>
      <c r="GC28" s="54"/>
      <c r="GD28" s="54"/>
      <c r="GE28" s="54"/>
      <c r="GF28" s="54"/>
      <c r="GG28" s="54"/>
      <c r="GH28" s="54"/>
      <c r="GI28" s="54"/>
      <c r="GJ28" s="54"/>
      <c r="GK28" s="54"/>
      <c r="GL28" s="54"/>
      <c r="GM28" s="54"/>
      <c r="GN28" s="54"/>
      <c r="GO28" s="54"/>
      <c r="GP28" s="54"/>
      <c r="GQ28" s="54"/>
      <c r="GR28" s="54"/>
      <c r="GS28" s="54"/>
      <c r="GT28" s="54"/>
      <c r="GU28" s="54"/>
      <c r="GV28" s="54"/>
      <c r="GW28" s="54"/>
      <c r="GX28" s="54"/>
      <c r="GY28" s="54"/>
      <c r="GZ28" s="54"/>
      <c r="HA28" s="54"/>
      <c r="HB28" s="54"/>
    </row>
    <row r="29" spans="1:212" s="5" customFormat="1" ht="13.5" customHeight="1">
      <c r="A29" s="11"/>
      <c r="B29" s="81" t="s">
        <v>33</v>
      </c>
      <c r="C29" s="82"/>
      <c r="D29" s="35" t="s">
        <v>24</v>
      </c>
      <c r="E29" s="36">
        <v>44963</v>
      </c>
      <c r="F29" s="70">
        <v>45047</v>
      </c>
      <c r="G29" s="59">
        <f>_xlfn.DAYS(F29, E29)</f>
        <v>84</v>
      </c>
      <c r="H29" s="85" t="s">
        <v>27</v>
      </c>
      <c r="I29" s="87"/>
      <c r="J29" s="30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7"/>
      <c r="CA29" s="17"/>
      <c r="CB29" s="17"/>
      <c r="CC29" s="17"/>
      <c r="CD29" s="17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17"/>
      <c r="EZ29" s="17"/>
      <c r="FA29" s="17"/>
      <c r="FB29" s="17"/>
      <c r="FC29" s="17"/>
      <c r="FD29" s="17"/>
      <c r="FE29" s="17"/>
      <c r="FF29" s="17"/>
      <c r="FG29" s="17"/>
      <c r="FH29" s="17"/>
      <c r="FI29" s="17"/>
      <c r="FJ29" s="31"/>
      <c r="FK29" s="12"/>
      <c r="FL29" s="54"/>
      <c r="FM29" s="54"/>
      <c r="FN29" s="54"/>
      <c r="FO29" s="54"/>
      <c r="FP29" s="54"/>
      <c r="FQ29" s="54"/>
      <c r="FR29" s="54"/>
      <c r="FS29" s="54"/>
      <c r="FT29" s="54"/>
      <c r="FU29" s="54"/>
      <c r="FV29" s="54"/>
      <c r="FW29" s="54"/>
      <c r="FX29" s="54"/>
      <c r="FY29" s="54"/>
      <c r="FZ29" s="54"/>
      <c r="GA29" s="54"/>
      <c r="GB29" s="54"/>
      <c r="GC29" s="54"/>
      <c r="GD29" s="54"/>
      <c r="GE29" s="54"/>
      <c r="GF29" s="54"/>
      <c r="GG29" s="54"/>
      <c r="GH29" s="54"/>
      <c r="GI29" s="54"/>
      <c r="GJ29" s="54"/>
      <c r="GK29" s="54"/>
      <c r="GL29" s="54"/>
      <c r="GM29" s="54"/>
      <c r="GN29" s="54"/>
      <c r="GO29" s="54"/>
      <c r="GP29" s="54"/>
      <c r="GQ29" s="54"/>
      <c r="GR29" s="54"/>
      <c r="GS29" s="54"/>
      <c r="GT29" s="54"/>
      <c r="GU29" s="54"/>
      <c r="GV29" s="54"/>
      <c r="GW29" s="54"/>
      <c r="GX29" s="54"/>
      <c r="GY29" s="54"/>
      <c r="GZ29" s="54"/>
      <c r="HA29" s="54"/>
      <c r="HB29" s="54"/>
    </row>
    <row r="30" spans="1:212" s="5" customFormat="1" ht="13.35" customHeight="1" thickBot="1">
      <c r="A30" s="11"/>
      <c r="B30" s="83"/>
      <c r="C30" s="84"/>
      <c r="D30" s="37" t="s">
        <v>25</v>
      </c>
      <c r="E30" s="38"/>
      <c r="F30" s="38"/>
      <c r="G30" s="60">
        <f>_xlfn.DAYS(F30, E30)</f>
        <v>0</v>
      </c>
      <c r="H30" s="86"/>
      <c r="I30" s="87"/>
      <c r="J30" s="30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  <c r="BY30" s="17"/>
      <c r="BZ30" s="17"/>
      <c r="CA30" s="17"/>
      <c r="CB30" s="17"/>
      <c r="CC30" s="17"/>
      <c r="CD30" s="17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17"/>
      <c r="EQ30" s="17"/>
      <c r="ER30" s="17"/>
      <c r="ES30" s="17"/>
      <c r="ET30" s="17"/>
      <c r="EU30" s="17"/>
      <c r="EV30" s="17"/>
      <c r="EW30" s="17"/>
      <c r="EX30" s="17"/>
      <c r="EY30" s="17"/>
      <c r="EZ30" s="17"/>
      <c r="FA30" s="17"/>
      <c r="FB30" s="17"/>
      <c r="FC30" s="17"/>
      <c r="FD30" s="17"/>
      <c r="FE30" s="17"/>
      <c r="FF30" s="17"/>
      <c r="FG30" s="17"/>
      <c r="FH30" s="17"/>
      <c r="FI30" s="17"/>
      <c r="FJ30" s="31"/>
      <c r="FK30" s="12"/>
      <c r="FL30" s="54"/>
      <c r="FM30" s="54"/>
      <c r="FN30" s="54"/>
      <c r="FO30" s="54"/>
      <c r="FP30" s="54"/>
      <c r="FQ30" s="54"/>
      <c r="FR30" s="54"/>
      <c r="FS30" s="54"/>
      <c r="FT30" s="54"/>
      <c r="FU30" s="54"/>
      <c r="FV30" s="54"/>
      <c r="FW30" s="54"/>
      <c r="FX30" s="54"/>
      <c r="FY30" s="54"/>
      <c r="FZ30" s="54"/>
      <c r="GA30" s="54"/>
      <c r="GB30" s="54"/>
      <c r="GC30" s="54"/>
      <c r="GD30" s="54"/>
      <c r="GE30" s="54"/>
      <c r="GF30" s="54"/>
      <c r="GG30" s="54"/>
      <c r="GH30" s="54"/>
      <c r="GI30" s="54"/>
      <c r="GJ30" s="54"/>
      <c r="GK30" s="54"/>
      <c r="GL30" s="54"/>
      <c r="GM30" s="54"/>
      <c r="GN30" s="54"/>
      <c r="GO30" s="54"/>
      <c r="GP30" s="54"/>
      <c r="GQ30" s="54"/>
      <c r="GR30" s="54"/>
      <c r="GS30" s="54"/>
      <c r="GT30" s="54"/>
      <c r="GU30" s="54"/>
      <c r="GV30" s="54"/>
      <c r="GW30" s="54"/>
      <c r="GX30" s="54"/>
      <c r="GY30" s="54"/>
      <c r="GZ30" s="54"/>
      <c r="HA30" s="54"/>
      <c r="HB30" s="54"/>
    </row>
    <row r="31" spans="1:212" s="5" customFormat="1" ht="5.25" customHeight="1" thickBot="1">
      <c r="A31" s="11"/>
      <c r="B31" s="80"/>
      <c r="C31" s="80"/>
      <c r="D31" s="8"/>
      <c r="E31" s="9"/>
      <c r="F31" s="9"/>
      <c r="G31" s="61"/>
      <c r="H31" s="9"/>
      <c r="I31" s="9"/>
      <c r="J31" s="30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7"/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17"/>
      <c r="EQ31" s="17"/>
      <c r="ER31" s="17"/>
      <c r="ES31" s="17"/>
      <c r="ET31" s="17"/>
      <c r="EU31" s="17"/>
      <c r="EV31" s="17"/>
      <c r="EW31" s="17"/>
      <c r="EX31" s="17"/>
      <c r="EY31" s="17"/>
      <c r="EZ31" s="17"/>
      <c r="FA31" s="17"/>
      <c r="FB31" s="17"/>
      <c r="FC31" s="17"/>
      <c r="FD31" s="17"/>
      <c r="FE31" s="17"/>
      <c r="FF31" s="17"/>
      <c r="FG31" s="17"/>
      <c r="FH31" s="17"/>
      <c r="FI31" s="17"/>
      <c r="FJ31" s="31"/>
      <c r="FK31" s="12"/>
      <c r="FL31" s="54"/>
      <c r="FM31" s="54"/>
      <c r="FN31" s="54"/>
      <c r="FO31" s="54"/>
      <c r="FP31" s="54"/>
      <c r="FQ31" s="54"/>
      <c r="FR31" s="54"/>
      <c r="FS31" s="54"/>
      <c r="FT31" s="54"/>
      <c r="FU31" s="54"/>
      <c r="FV31" s="54"/>
      <c r="FW31" s="54"/>
      <c r="FX31" s="54"/>
      <c r="FY31" s="54"/>
      <c r="FZ31" s="54"/>
      <c r="GA31" s="54"/>
      <c r="GB31" s="54"/>
      <c r="GC31" s="54"/>
      <c r="GD31" s="54"/>
      <c r="GE31" s="54"/>
      <c r="GF31" s="54"/>
      <c r="GG31" s="54"/>
      <c r="GH31" s="54"/>
      <c r="GI31" s="54"/>
      <c r="GJ31" s="54"/>
      <c r="GK31" s="54"/>
      <c r="GL31" s="54"/>
      <c r="GM31" s="54"/>
      <c r="GN31" s="54"/>
      <c r="GO31" s="54"/>
      <c r="GP31" s="54"/>
      <c r="GQ31" s="54"/>
      <c r="GR31" s="54"/>
      <c r="GS31" s="54"/>
      <c r="GT31" s="54"/>
      <c r="GU31" s="54"/>
      <c r="GV31" s="54"/>
      <c r="GW31" s="54"/>
      <c r="GX31" s="54"/>
      <c r="GY31" s="54"/>
      <c r="GZ31" s="54"/>
      <c r="HA31" s="54"/>
      <c r="HB31" s="54"/>
    </row>
    <row r="32" spans="1:212" s="5" customFormat="1" ht="13.5" customHeight="1">
      <c r="A32" s="11"/>
      <c r="B32" s="81" t="s">
        <v>34</v>
      </c>
      <c r="C32" s="82"/>
      <c r="D32" s="35" t="s">
        <v>24</v>
      </c>
      <c r="E32" s="36">
        <v>44991</v>
      </c>
      <c r="F32" s="70">
        <v>45054</v>
      </c>
      <c r="G32" s="59">
        <f>_xlfn.DAYS(F32, E32)</f>
        <v>63</v>
      </c>
      <c r="H32" s="85" t="s">
        <v>27</v>
      </c>
      <c r="I32" s="87"/>
      <c r="J32" s="30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17"/>
      <c r="EQ32" s="17"/>
      <c r="ER32" s="17"/>
      <c r="ES32" s="17"/>
      <c r="ET32" s="17"/>
      <c r="EU32" s="17"/>
      <c r="EV32" s="17"/>
      <c r="EW32" s="17"/>
      <c r="EX32" s="17"/>
      <c r="EY32" s="17"/>
      <c r="EZ32" s="17"/>
      <c r="FA32" s="17"/>
      <c r="FB32" s="17"/>
      <c r="FC32" s="17"/>
      <c r="FD32" s="17"/>
      <c r="FE32" s="17"/>
      <c r="FF32" s="17"/>
      <c r="FG32" s="17"/>
      <c r="FH32" s="17"/>
      <c r="FI32" s="17"/>
      <c r="FJ32" s="31"/>
      <c r="FL32" s="54"/>
      <c r="FM32" s="54"/>
      <c r="FN32" s="54"/>
      <c r="FO32" s="54"/>
      <c r="FP32" s="54"/>
      <c r="FQ32" s="54"/>
      <c r="FR32" s="54"/>
      <c r="FS32" s="54"/>
      <c r="FT32" s="54"/>
      <c r="FU32" s="54"/>
      <c r="FV32" s="54"/>
      <c r="FW32" s="54"/>
      <c r="FX32" s="54"/>
      <c r="FY32" s="54"/>
      <c r="FZ32" s="54"/>
      <c r="GA32" s="54"/>
      <c r="GB32" s="54"/>
      <c r="GC32" s="54"/>
      <c r="GD32" s="54"/>
      <c r="GE32" s="54"/>
      <c r="GF32" s="54"/>
      <c r="GG32" s="54"/>
      <c r="GH32" s="54"/>
      <c r="GI32" s="54"/>
      <c r="GJ32" s="54"/>
      <c r="GK32" s="54"/>
      <c r="GL32" s="54"/>
      <c r="GM32" s="54"/>
      <c r="GN32" s="54"/>
      <c r="GO32" s="54"/>
      <c r="GP32" s="54"/>
      <c r="GQ32" s="54"/>
      <c r="GR32" s="54"/>
      <c r="GS32" s="54"/>
      <c r="GT32" s="54"/>
      <c r="GU32" s="54"/>
      <c r="GV32" s="54"/>
      <c r="GW32" s="54"/>
      <c r="GX32" s="54"/>
      <c r="GY32" s="54"/>
      <c r="GZ32" s="54"/>
      <c r="HA32" s="54"/>
      <c r="HB32" s="54"/>
      <c r="HC32" s="54"/>
      <c r="HD32" s="54"/>
    </row>
    <row r="33" spans="1:212" s="5" customFormat="1" ht="13.5" customHeight="1" thickBot="1">
      <c r="A33" s="11"/>
      <c r="B33" s="83"/>
      <c r="C33" s="84"/>
      <c r="D33" s="37" t="s">
        <v>25</v>
      </c>
      <c r="E33" s="38"/>
      <c r="F33" s="38"/>
      <c r="G33" s="60">
        <f>_xlfn.DAYS(F33, E33)</f>
        <v>0</v>
      </c>
      <c r="H33" s="86"/>
      <c r="I33" s="87"/>
      <c r="J33" s="30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31"/>
      <c r="FL33" s="54"/>
      <c r="FM33" s="54"/>
      <c r="FN33" s="54"/>
      <c r="FO33" s="54"/>
      <c r="FP33" s="54"/>
      <c r="FQ33" s="54"/>
      <c r="FR33" s="54"/>
      <c r="FS33" s="54"/>
      <c r="FT33" s="54"/>
      <c r="FU33" s="54"/>
      <c r="FV33" s="54"/>
      <c r="FW33" s="54"/>
      <c r="FX33" s="54"/>
      <c r="FY33" s="54"/>
      <c r="FZ33" s="54"/>
      <c r="GA33" s="54"/>
      <c r="GB33" s="54"/>
      <c r="GC33" s="54"/>
      <c r="GD33" s="54"/>
      <c r="GE33" s="54"/>
      <c r="GF33" s="54"/>
      <c r="GG33" s="54"/>
      <c r="GH33" s="54"/>
      <c r="GI33" s="54"/>
      <c r="GJ33" s="54"/>
      <c r="GK33" s="54"/>
      <c r="GL33" s="54"/>
      <c r="GM33" s="54"/>
      <c r="GN33" s="54"/>
      <c r="GO33" s="54"/>
      <c r="GP33" s="54"/>
      <c r="GQ33" s="54"/>
      <c r="GR33" s="54"/>
      <c r="GS33" s="54"/>
      <c r="GT33" s="54"/>
      <c r="GU33" s="54"/>
      <c r="GV33" s="54"/>
      <c r="GW33" s="54"/>
      <c r="GX33" s="54"/>
      <c r="GY33" s="54"/>
      <c r="GZ33" s="54"/>
      <c r="HA33" s="54"/>
      <c r="HB33" s="54"/>
      <c r="HC33" s="54"/>
      <c r="HD33" s="54"/>
    </row>
    <row r="34" spans="1:212" s="5" customFormat="1" ht="5.25" customHeight="1" thickBot="1">
      <c r="A34" s="11"/>
      <c r="B34" s="80"/>
      <c r="C34" s="80"/>
      <c r="D34" s="8"/>
      <c r="E34" s="9"/>
      <c r="F34" s="9"/>
      <c r="G34" s="61"/>
      <c r="H34" s="9"/>
      <c r="I34" s="9"/>
      <c r="J34" s="30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31"/>
      <c r="FK34" s="12"/>
      <c r="FL34" s="54"/>
      <c r="FM34" s="54"/>
      <c r="FN34" s="54"/>
      <c r="FO34" s="54"/>
      <c r="FP34" s="54"/>
      <c r="FQ34" s="54"/>
      <c r="FR34" s="54"/>
      <c r="FS34" s="54"/>
      <c r="FT34" s="54"/>
      <c r="FU34" s="54"/>
      <c r="FV34" s="54"/>
      <c r="FW34" s="54"/>
      <c r="FX34" s="54"/>
      <c r="FY34" s="54"/>
      <c r="FZ34" s="54"/>
      <c r="GA34" s="54"/>
      <c r="GB34" s="54"/>
      <c r="GC34" s="54"/>
      <c r="GD34" s="54"/>
      <c r="GE34" s="54"/>
      <c r="GF34" s="54"/>
      <c r="GG34" s="54"/>
      <c r="GH34" s="54"/>
      <c r="GI34" s="54"/>
      <c r="GJ34" s="54"/>
      <c r="GK34" s="54"/>
      <c r="GL34" s="54"/>
      <c r="GM34" s="54"/>
      <c r="GN34" s="54"/>
      <c r="GO34" s="54"/>
      <c r="GP34" s="54"/>
      <c r="GQ34" s="54"/>
      <c r="GR34" s="54"/>
      <c r="GS34" s="54"/>
      <c r="GT34" s="54"/>
      <c r="GU34" s="54"/>
      <c r="GV34" s="54"/>
      <c r="GW34" s="54"/>
      <c r="GX34" s="54"/>
      <c r="GY34" s="54"/>
      <c r="GZ34" s="54"/>
      <c r="HA34" s="54"/>
      <c r="HB34" s="54"/>
    </row>
    <row r="35" spans="1:212" s="5" customFormat="1" ht="13.5" customHeight="1">
      <c r="A35" s="11"/>
      <c r="B35" s="81" t="s">
        <v>35</v>
      </c>
      <c r="C35" s="82"/>
      <c r="D35" s="35" t="s">
        <v>24</v>
      </c>
      <c r="E35" s="36">
        <v>44963</v>
      </c>
      <c r="F35" s="70">
        <v>45047</v>
      </c>
      <c r="G35" s="59">
        <f>_xlfn.DAYS(F35, E35)</f>
        <v>84</v>
      </c>
      <c r="H35" s="85" t="s">
        <v>27</v>
      </c>
      <c r="I35" s="87"/>
      <c r="J35" s="30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G35" s="17"/>
      <c r="FH35" s="17"/>
      <c r="FI35" s="17"/>
      <c r="FJ35" s="31"/>
      <c r="FL35" s="54"/>
      <c r="FM35" s="54"/>
      <c r="FN35" s="54"/>
      <c r="FO35" s="54"/>
      <c r="FP35" s="54"/>
      <c r="FQ35" s="54"/>
      <c r="FR35" s="54"/>
      <c r="FS35" s="54"/>
      <c r="FT35" s="54"/>
      <c r="FU35" s="54"/>
      <c r="FV35" s="54"/>
      <c r="FW35" s="54"/>
      <c r="FX35" s="54"/>
      <c r="FY35" s="54"/>
      <c r="FZ35" s="54"/>
      <c r="GA35" s="54"/>
      <c r="GB35" s="54"/>
      <c r="GC35" s="54"/>
      <c r="GD35" s="54"/>
      <c r="GE35" s="54"/>
      <c r="GF35" s="54"/>
      <c r="GG35" s="54"/>
      <c r="GH35" s="54"/>
      <c r="GI35" s="54"/>
      <c r="GJ35" s="54"/>
      <c r="GK35" s="54"/>
      <c r="GL35" s="54"/>
      <c r="GM35" s="54"/>
      <c r="GN35" s="54"/>
      <c r="GO35" s="54"/>
      <c r="GP35" s="54"/>
      <c r="GQ35" s="54"/>
      <c r="GR35" s="54"/>
      <c r="GS35" s="54"/>
      <c r="GT35" s="54"/>
      <c r="GU35" s="54"/>
      <c r="GV35" s="54"/>
      <c r="GW35" s="54"/>
      <c r="GX35" s="54"/>
      <c r="GY35" s="54"/>
      <c r="GZ35" s="54"/>
      <c r="HA35" s="54"/>
      <c r="HB35" s="54"/>
      <c r="HC35" s="54"/>
      <c r="HD35" s="54"/>
    </row>
    <row r="36" spans="1:212" s="5" customFormat="1" ht="13.5" customHeight="1" thickBot="1">
      <c r="A36" s="11"/>
      <c r="B36" s="83"/>
      <c r="C36" s="84"/>
      <c r="D36" s="37" t="s">
        <v>25</v>
      </c>
      <c r="E36" s="38"/>
      <c r="F36" s="38"/>
      <c r="G36" s="60">
        <f>_xlfn.DAYS(F36, E36)</f>
        <v>0</v>
      </c>
      <c r="H36" s="86"/>
      <c r="I36" s="87"/>
      <c r="J36" s="30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31"/>
      <c r="FL36" s="54"/>
      <c r="FM36" s="54"/>
      <c r="FN36" s="54"/>
      <c r="FO36" s="54"/>
      <c r="FP36" s="54"/>
      <c r="FQ36" s="54"/>
      <c r="FR36" s="54"/>
      <c r="FS36" s="54"/>
      <c r="FT36" s="54"/>
      <c r="FU36" s="54"/>
      <c r="FV36" s="54"/>
      <c r="FW36" s="54"/>
      <c r="FX36" s="54"/>
      <c r="FY36" s="54"/>
      <c r="FZ36" s="54"/>
      <c r="GA36" s="54"/>
      <c r="GB36" s="54"/>
      <c r="GC36" s="54"/>
      <c r="GD36" s="54"/>
      <c r="GE36" s="54"/>
      <c r="GF36" s="54"/>
      <c r="GG36" s="54"/>
      <c r="GH36" s="54"/>
      <c r="GI36" s="54"/>
      <c r="GJ36" s="54"/>
      <c r="GK36" s="54"/>
      <c r="GL36" s="54"/>
      <c r="GM36" s="54"/>
      <c r="GN36" s="54"/>
      <c r="GO36" s="54"/>
      <c r="GP36" s="54"/>
      <c r="GQ36" s="54"/>
      <c r="GR36" s="54"/>
      <c r="GS36" s="54"/>
      <c r="GT36" s="54"/>
      <c r="GU36" s="54"/>
      <c r="GV36" s="54"/>
      <c r="GW36" s="54"/>
      <c r="GX36" s="54"/>
      <c r="GY36" s="54"/>
      <c r="GZ36" s="54"/>
      <c r="HA36" s="54"/>
      <c r="HB36" s="54"/>
      <c r="HC36" s="54"/>
      <c r="HD36" s="54"/>
    </row>
    <row r="37" spans="1:212" s="5" customFormat="1" ht="5.25" customHeight="1" thickBot="1">
      <c r="A37" s="11"/>
      <c r="B37" s="80"/>
      <c r="C37" s="80"/>
      <c r="D37" s="8"/>
      <c r="E37" s="9"/>
      <c r="F37" s="9"/>
      <c r="G37" s="61"/>
      <c r="H37" s="9"/>
      <c r="I37" s="6"/>
      <c r="J37" s="30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31"/>
      <c r="FL37" s="54"/>
      <c r="FM37" s="54"/>
      <c r="FN37" s="54"/>
      <c r="FO37" s="54"/>
      <c r="FP37" s="54"/>
      <c r="FQ37" s="54"/>
      <c r="FR37" s="54"/>
      <c r="FS37" s="54"/>
      <c r="FT37" s="54"/>
      <c r="FU37" s="54"/>
      <c r="FV37" s="54"/>
      <c r="FW37" s="54"/>
      <c r="FX37" s="54"/>
      <c r="FY37" s="54"/>
      <c r="FZ37" s="54"/>
      <c r="GA37" s="54"/>
      <c r="GB37" s="54"/>
      <c r="GC37" s="54"/>
      <c r="GD37" s="54"/>
      <c r="GE37" s="54"/>
      <c r="GF37" s="54"/>
      <c r="GG37" s="54"/>
      <c r="GH37" s="54"/>
      <c r="GI37" s="54"/>
      <c r="GJ37" s="54"/>
      <c r="GK37" s="54"/>
      <c r="GL37" s="54"/>
      <c r="GM37" s="54"/>
      <c r="GN37" s="54"/>
      <c r="GO37" s="54"/>
      <c r="GP37" s="54"/>
      <c r="GQ37" s="54"/>
      <c r="GR37" s="54"/>
      <c r="GS37" s="54"/>
      <c r="GT37" s="54"/>
      <c r="GU37" s="54"/>
      <c r="GV37" s="54"/>
      <c r="GW37" s="54"/>
      <c r="GX37" s="54"/>
      <c r="GY37" s="54"/>
      <c r="GZ37" s="54"/>
      <c r="HA37" s="54"/>
      <c r="HB37" s="54"/>
      <c r="HC37" s="54"/>
      <c r="HD37" s="54"/>
    </row>
    <row r="38" spans="1:212" s="5" customFormat="1" ht="13.5" customHeight="1">
      <c r="A38" s="11"/>
      <c r="B38" s="81" t="s">
        <v>36</v>
      </c>
      <c r="C38" s="82"/>
      <c r="D38" s="35" t="s">
        <v>24</v>
      </c>
      <c r="E38" s="36">
        <v>45019</v>
      </c>
      <c r="F38" s="70">
        <v>45040</v>
      </c>
      <c r="G38" s="59">
        <f>_xlfn.DAYS(F38, E38)</f>
        <v>21</v>
      </c>
      <c r="H38" s="85" t="s">
        <v>37</v>
      </c>
      <c r="I38" s="87"/>
      <c r="J38" s="30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17"/>
      <c r="EQ38" s="17"/>
      <c r="ER38" s="17"/>
      <c r="ES38" s="17"/>
      <c r="ET38" s="17"/>
      <c r="EU38" s="17"/>
      <c r="EV38" s="17"/>
      <c r="EW38" s="17"/>
      <c r="EX38" s="17"/>
      <c r="EY38" s="17"/>
      <c r="EZ38" s="17"/>
      <c r="FA38" s="17"/>
      <c r="FB38" s="17"/>
      <c r="FC38" s="17"/>
      <c r="FD38" s="17"/>
      <c r="FE38" s="17"/>
      <c r="FF38" s="17"/>
      <c r="FG38" s="17"/>
      <c r="FH38" s="17"/>
      <c r="FI38" s="17"/>
      <c r="FJ38" s="31"/>
      <c r="FL38" s="54"/>
      <c r="FM38" s="54"/>
      <c r="FN38" s="54"/>
      <c r="FO38" s="54"/>
      <c r="FP38" s="54"/>
      <c r="FQ38" s="54"/>
      <c r="FR38" s="54"/>
      <c r="FS38" s="54"/>
      <c r="FT38" s="54"/>
      <c r="FU38" s="54"/>
      <c r="FV38" s="54"/>
      <c r="FW38" s="54"/>
      <c r="FX38" s="54"/>
      <c r="FY38" s="54"/>
      <c r="FZ38" s="54"/>
      <c r="GA38" s="54"/>
      <c r="GB38" s="54"/>
      <c r="GC38" s="54"/>
      <c r="GD38" s="54"/>
      <c r="GE38" s="54"/>
      <c r="GF38" s="54"/>
      <c r="GG38" s="54"/>
      <c r="GH38" s="54"/>
      <c r="GI38" s="54"/>
      <c r="GJ38" s="54"/>
      <c r="GK38" s="54"/>
      <c r="GL38" s="54"/>
      <c r="GM38" s="54"/>
      <c r="GN38" s="54"/>
      <c r="GO38" s="54"/>
      <c r="GP38" s="54"/>
      <c r="GQ38" s="54"/>
      <c r="GR38" s="54"/>
      <c r="GS38" s="54"/>
      <c r="GT38" s="54"/>
      <c r="GU38" s="54"/>
      <c r="GV38" s="54"/>
      <c r="GW38" s="54"/>
      <c r="GX38" s="54"/>
      <c r="GY38" s="54"/>
      <c r="GZ38" s="54"/>
      <c r="HA38" s="54"/>
      <c r="HB38" s="54"/>
      <c r="HC38" s="54"/>
      <c r="HD38" s="54"/>
    </row>
    <row r="39" spans="1:212" s="5" customFormat="1" ht="13.5" customHeight="1" thickBot="1">
      <c r="A39" s="11"/>
      <c r="B39" s="83"/>
      <c r="C39" s="84"/>
      <c r="D39" s="37" t="s">
        <v>25</v>
      </c>
      <c r="E39" s="38"/>
      <c r="F39" s="38"/>
      <c r="G39" s="60">
        <f>_xlfn.DAYS(F39, E39)</f>
        <v>0</v>
      </c>
      <c r="H39" s="86"/>
      <c r="I39" s="87"/>
      <c r="J39" s="30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7"/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17"/>
      <c r="EQ39" s="17"/>
      <c r="ER39" s="17"/>
      <c r="ES39" s="17"/>
      <c r="ET39" s="17"/>
      <c r="EU39" s="17"/>
      <c r="EV39" s="17"/>
      <c r="EW39" s="17"/>
      <c r="EX39" s="17"/>
      <c r="EY39" s="17"/>
      <c r="EZ39" s="17"/>
      <c r="FA39" s="17"/>
      <c r="FB39" s="17"/>
      <c r="FC39" s="17"/>
      <c r="FD39" s="17"/>
      <c r="FE39" s="17"/>
      <c r="FF39" s="17"/>
      <c r="FG39" s="17"/>
      <c r="FH39" s="17"/>
      <c r="FI39" s="17"/>
      <c r="FJ39" s="31"/>
      <c r="FL39" s="54"/>
      <c r="FM39" s="54"/>
      <c r="FN39" s="54"/>
      <c r="FO39" s="54"/>
      <c r="FP39" s="54"/>
      <c r="FQ39" s="54"/>
      <c r="FR39" s="54"/>
      <c r="FS39" s="54"/>
      <c r="FT39" s="54"/>
      <c r="FU39" s="54"/>
      <c r="FV39" s="54"/>
      <c r="FW39" s="54"/>
      <c r="FX39" s="54"/>
      <c r="FY39" s="54"/>
      <c r="FZ39" s="54"/>
      <c r="GA39" s="54"/>
      <c r="GB39" s="54"/>
      <c r="GC39" s="54"/>
      <c r="GD39" s="54"/>
      <c r="GE39" s="54"/>
      <c r="GF39" s="54"/>
      <c r="GG39" s="54"/>
      <c r="GH39" s="54"/>
      <c r="GI39" s="54"/>
      <c r="GJ39" s="54"/>
      <c r="GK39" s="54"/>
      <c r="GL39" s="54"/>
      <c r="GM39" s="54"/>
      <c r="GN39" s="54"/>
      <c r="GO39" s="54"/>
      <c r="GP39" s="54"/>
      <c r="GQ39" s="54"/>
      <c r="GR39" s="54"/>
      <c r="GS39" s="54"/>
      <c r="GT39" s="54"/>
      <c r="GU39" s="54"/>
      <c r="GV39" s="54"/>
      <c r="GW39" s="54"/>
      <c r="GX39" s="54"/>
      <c r="GY39" s="54"/>
      <c r="GZ39" s="54"/>
      <c r="HA39" s="54"/>
      <c r="HB39" s="54"/>
      <c r="HC39" s="54"/>
      <c r="HD39" s="54"/>
    </row>
    <row r="40" spans="1:212" s="5" customFormat="1" ht="5.25" customHeight="1" thickBot="1">
      <c r="A40" s="11"/>
      <c r="B40" s="80"/>
      <c r="C40" s="80"/>
      <c r="D40" s="8"/>
      <c r="E40" s="9"/>
      <c r="F40" s="9"/>
      <c r="G40" s="61"/>
      <c r="H40" s="9"/>
      <c r="I40" s="6"/>
      <c r="J40" s="30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7"/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17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17"/>
      <c r="EQ40" s="17"/>
      <c r="ER40" s="17"/>
      <c r="ES40" s="17"/>
      <c r="ET40" s="17"/>
      <c r="EU40" s="17"/>
      <c r="EV40" s="17"/>
      <c r="EW40" s="17"/>
      <c r="EX40" s="17"/>
      <c r="EY40" s="17"/>
      <c r="EZ40" s="17"/>
      <c r="FA40" s="17"/>
      <c r="FB40" s="17"/>
      <c r="FC40" s="17"/>
      <c r="FD40" s="17"/>
      <c r="FE40" s="17"/>
      <c r="FF40" s="17"/>
      <c r="FG40" s="17"/>
      <c r="FH40" s="17"/>
      <c r="FI40" s="17"/>
      <c r="FJ40" s="31"/>
      <c r="FL40" s="54"/>
      <c r="FM40" s="54"/>
      <c r="FN40" s="54"/>
      <c r="FO40" s="54"/>
      <c r="FP40" s="54"/>
      <c r="FQ40" s="54"/>
      <c r="FR40" s="54"/>
      <c r="FS40" s="54"/>
      <c r="FT40" s="54"/>
      <c r="FU40" s="54"/>
      <c r="FV40" s="54"/>
      <c r="FW40" s="54"/>
      <c r="FX40" s="54"/>
      <c r="FY40" s="54"/>
      <c r="FZ40" s="54"/>
      <c r="GA40" s="54"/>
      <c r="GB40" s="54"/>
      <c r="GC40" s="54"/>
      <c r="GD40" s="54"/>
      <c r="GE40" s="54"/>
      <c r="GF40" s="54"/>
      <c r="GG40" s="54"/>
      <c r="GH40" s="54"/>
      <c r="GI40" s="54"/>
      <c r="GJ40" s="54"/>
      <c r="GK40" s="54"/>
      <c r="GL40" s="54"/>
      <c r="GM40" s="54"/>
      <c r="GN40" s="54"/>
      <c r="GO40" s="54"/>
      <c r="GP40" s="54"/>
      <c r="GQ40" s="54"/>
      <c r="GR40" s="54"/>
      <c r="GS40" s="54"/>
      <c r="GT40" s="54"/>
      <c r="GU40" s="54"/>
      <c r="GV40" s="54"/>
      <c r="GW40" s="54"/>
      <c r="GX40" s="54"/>
      <c r="GY40" s="54"/>
      <c r="GZ40" s="54"/>
      <c r="HA40" s="54"/>
      <c r="HB40" s="54"/>
      <c r="HC40" s="54"/>
      <c r="HD40" s="54"/>
    </row>
    <row r="41" spans="1:212" s="5" customFormat="1" ht="13.5" customHeight="1">
      <c r="A41" s="11"/>
      <c r="B41" s="81" t="s">
        <v>38</v>
      </c>
      <c r="C41" s="82"/>
      <c r="D41" s="35" t="s">
        <v>24</v>
      </c>
      <c r="E41" s="36">
        <v>45041</v>
      </c>
      <c r="F41" s="70">
        <v>45048</v>
      </c>
      <c r="G41" s="59">
        <f>_xlfn.DAYS(F41, E41)</f>
        <v>7</v>
      </c>
      <c r="H41" s="85" t="s">
        <v>39</v>
      </c>
      <c r="I41" s="87"/>
      <c r="J41" s="30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17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17"/>
      <c r="EQ41" s="17"/>
      <c r="ER41" s="17"/>
      <c r="ES41" s="17"/>
      <c r="ET41" s="17"/>
      <c r="EU41" s="17"/>
      <c r="EV41" s="17"/>
      <c r="EW41" s="17"/>
      <c r="EX41" s="17"/>
      <c r="EY41" s="17"/>
      <c r="EZ41" s="17"/>
      <c r="FA41" s="17"/>
      <c r="FB41" s="17"/>
      <c r="FC41" s="17"/>
      <c r="FD41" s="17"/>
      <c r="FE41" s="17"/>
      <c r="FF41" s="17"/>
      <c r="FG41" s="17"/>
      <c r="FH41" s="17"/>
      <c r="FI41" s="17"/>
      <c r="FJ41" s="31"/>
      <c r="FL41" s="54"/>
      <c r="FM41" s="54"/>
      <c r="FN41" s="54"/>
      <c r="FO41" s="54"/>
      <c r="FP41" s="54"/>
      <c r="FQ41" s="54"/>
      <c r="FR41" s="54"/>
      <c r="FS41" s="54"/>
      <c r="FT41" s="54"/>
      <c r="FU41" s="54"/>
      <c r="FV41" s="54"/>
      <c r="FW41" s="54"/>
      <c r="FX41" s="54"/>
      <c r="FY41" s="54"/>
      <c r="FZ41" s="54"/>
      <c r="GA41" s="54"/>
      <c r="GB41" s="54"/>
      <c r="GC41" s="54"/>
      <c r="GD41" s="54"/>
      <c r="GE41" s="54"/>
      <c r="GF41" s="54"/>
      <c r="GG41" s="54"/>
      <c r="GH41" s="54"/>
      <c r="GI41" s="54"/>
      <c r="GJ41" s="54"/>
      <c r="GK41" s="54"/>
      <c r="GL41" s="54"/>
      <c r="GM41" s="54"/>
      <c r="GN41" s="54"/>
      <c r="GO41" s="54"/>
      <c r="GP41" s="54"/>
      <c r="GQ41" s="54"/>
      <c r="GR41" s="54"/>
      <c r="GS41" s="54"/>
      <c r="GT41" s="54"/>
      <c r="GU41" s="54"/>
      <c r="GV41" s="54"/>
      <c r="GW41" s="54"/>
      <c r="GX41" s="54"/>
      <c r="GY41" s="54"/>
      <c r="GZ41" s="54"/>
      <c r="HA41" s="54"/>
      <c r="HB41" s="54"/>
      <c r="HC41" s="54"/>
      <c r="HD41" s="54"/>
    </row>
    <row r="42" spans="1:212" s="5" customFormat="1" ht="13.5" customHeight="1" thickBot="1">
      <c r="A42" s="11"/>
      <c r="B42" s="83"/>
      <c r="C42" s="84"/>
      <c r="D42" s="37" t="s">
        <v>25</v>
      </c>
      <c r="E42" s="38"/>
      <c r="F42" s="38"/>
      <c r="G42" s="60">
        <f>_xlfn.DAYS(F42, E42)</f>
        <v>0</v>
      </c>
      <c r="H42" s="86"/>
      <c r="I42" s="87"/>
      <c r="J42" s="30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  <c r="BW42" s="17"/>
      <c r="BX42" s="17"/>
      <c r="BY42" s="17"/>
      <c r="BZ42" s="17"/>
      <c r="CA42" s="17"/>
      <c r="CB42" s="17"/>
      <c r="CC42" s="17"/>
      <c r="CD42" s="17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17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17"/>
      <c r="EQ42" s="17"/>
      <c r="ER42" s="17"/>
      <c r="ES42" s="17"/>
      <c r="ET42" s="17"/>
      <c r="EU42" s="17"/>
      <c r="EV42" s="17"/>
      <c r="EW42" s="17"/>
      <c r="EX42" s="17"/>
      <c r="EY42" s="17"/>
      <c r="EZ42" s="17"/>
      <c r="FA42" s="17"/>
      <c r="FB42" s="17"/>
      <c r="FC42" s="17"/>
      <c r="FD42" s="17"/>
      <c r="FE42" s="17"/>
      <c r="FF42" s="17"/>
      <c r="FG42" s="17"/>
      <c r="FH42" s="17"/>
      <c r="FI42" s="17"/>
      <c r="FJ42" s="31"/>
      <c r="FL42" s="54"/>
      <c r="FM42" s="54"/>
      <c r="FN42" s="54"/>
      <c r="FO42" s="54"/>
      <c r="FP42" s="54"/>
      <c r="FQ42" s="54"/>
      <c r="FR42" s="54"/>
      <c r="FS42" s="54"/>
      <c r="FT42" s="54"/>
      <c r="FU42" s="54"/>
      <c r="FV42" s="54"/>
      <c r="FW42" s="54"/>
      <c r="FX42" s="54"/>
      <c r="FY42" s="54"/>
      <c r="FZ42" s="54"/>
      <c r="GA42" s="54"/>
      <c r="GB42" s="54"/>
      <c r="GC42" s="54"/>
      <c r="GD42" s="54"/>
      <c r="GE42" s="54"/>
      <c r="GF42" s="54"/>
      <c r="GG42" s="54"/>
      <c r="GH42" s="54"/>
      <c r="GI42" s="54"/>
      <c r="GJ42" s="54"/>
      <c r="GK42" s="54"/>
      <c r="GL42" s="54"/>
      <c r="GM42" s="54"/>
      <c r="GN42" s="54"/>
      <c r="GO42" s="54"/>
      <c r="GP42" s="54"/>
      <c r="GQ42" s="54"/>
      <c r="GR42" s="54"/>
      <c r="GS42" s="54"/>
      <c r="GT42" s="54"/>
      <c r="GU42" s="54"/>
      <c r="GV42" s="54"/>
      <c r="GW42" s="54"/>
      <c r="GX42" s="54"/>
      <c r="GY42" s="54"/>
      <c r="GZ42" s="54"/>
      <c r="HA42" s="54"/>
      <c r="HB42" s="54"/>
      <c r="HC42" s="54"/>
      <c r="HD42" s="54"/>
    </row>
    <row r="43" spans="1:212" s="5" customFormat="1" ht="5.25" customHeight="1" thickBot="1">
      <c r="A43" s="11"/>
      <c r="B43" s="80"/>
      <c r="C43" s="80"/>
      <c r="D43" s="8"/>
      <c r="E43" s="9"/>
      <c r="F43" s="9"/>
      <c r="G43" s="61"/>
      <c r="H43" s="9"/>
      <c r="I43" s="6"/>
      <c r="J43" s="30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17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17"/>
      <c r="EQ43" s="17"/>
      <c r="ER43" s="17"/>
      <c r="ES43" s="17"/>
      <c r="ET43" s="17"/>
      <c r="EU43" s="17"/>
      <c r="EV43" s="17"/>
      <c r="EW43" s="17"/>
      <c r="EX43" s="17"/>
      <c r="EY43" s="17"/>
      <c r="EZ43" s="17"/>
      <c r="FA43" s="17"/>
      <c r="FB43" s="17"/>
      <c r="FC43" s="17"/>
      <c r="FD43" s="17"/>
      <c r="FE43" s="17"/>
      <c r="FF43" s="17"/>
      <c r="FG43" s="17"/>
      <c r="FH43" s="17"/>
      <c r="FI43" s="17"/>
      <c r="FJ43" s="31"/>
      <c r="FL43" s="54"/>
      <c r="FM43" s="54"/>
      <c r="FN43" s="54"/>
      <c r="FO43" s="54"/>
      <c r="FP43" s="54"/>
      <c r="FQ43" s="54"/>
      <c r="FR43" s="54"/>
      <c r="FS43" s="54"/>
      <c r="FT43" s="54"/>
      <c r="FU43" s="54"/>
      <c r="FV43" s="54"/>
      <c r="FW43" s="54"/>
      <c r="FX43" s="54"/>
      <c r="FY43" s="54"/>
      <c r="FZ43" s="54"/>
      <c r="GA43" s="54"/>
      <c r="GB43" s="54"/>
      <c r="GC43" s="54"/>
      <c r="GD43" s="54"/>
      <c r="GE43" s="54"/>
      <c r="GF43" s="54"/>
      <c r="GG43" s="54"/>
      <c r="GH43" s="54"/>
      <c r="GI43" s="54"/>
      <c r="GJ43" s="54"/>
      <c r="GK43" s="54"/>
      <c r="GL43" s="54"/>
      <c r="GM43" s="54"/>
      <c r="GN43" s="54"/>
      <c r="GO43" s="54"/>
      <c r="GP43" s="54"/>
      <c r="GQ43" s="54"/>
      <c r="GR43" s="54"/>
      <c r="GS43" s="54"/>
      <c r="GT43" s="54"/>
      <c r="GU43" s="54"/>
      <c r="GV43" s="54"/>
      <c r="GW43" s="54"/>
      <c r="GX43" s="54"/>
      <c r="GY43" s="54"/>
      <c r="GZ43" s="54"/>
      <c r="HA43" s="54"/>
      <c r="HB43" s="54"/>
      <c r="HC43" s="54"/>
      <c r="HD43" s="54"/>
    </row>
    <row r="44" spans="1:212" s="5" customFormat="1" ht="13.5" customHeight="1">
      <c r="A44" s="11"/>
      <c r="B44" s="81" t="s">
        <v>40</v>
      </c>
      <c r="C44" s="82"/>
      <c r="D44" s="35" t="s">
        <v>24</v>
      </c>
      <c r="E44" s="36">
        <v>45049</v>
      </c>
      <c r="F44" s="70">
        <v>45061</v>
      </c>
      <c r="G44" s="59">
        <f>_xlfn.DAYS(F44, E44)</f>
        <v>12</v>
      </c>
      <c r="H44" s="85" t="s">
        <v>27</v>
      </c>
      <c r="I44" s="87"/>
      <c r="J44" s="30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  <c r="BW44" s="17"/>
      <c r="BX44" s="17"/>
      <c r="BY44" s="17"/>
      <c r="BZ44" s="17"/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17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17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17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17"/>
      <c r="EQ44" s="17"/>
      <c r="ER44" s="17"/>
      <c r="ES44" s="17"/>
      <c r="ET44" s="17"/>
      <c r="EU44" s="17"/>
      <c r="EV44" s="17"/>
      <c r="EW44" s="17"/>
      <c r="EX44" s="17"/>
      <c r="EY44" s="17"/>
      <c r="EZ44" s="17"/>
      <c r="FA44" s="17"/>
      <c r="FB44" s="17"/>
      <c r="FC44" s="17"/>
      <c r="FD44" s="17"/>
      <c r="FE44" s="17"/>
      <c r="FF44" s="17"/>
      <c r="FG44" s="17"/>
      <c r="FH44" s="17"/>
      <c r="FI44" s="17"/>
      <c r="FJ44" s="31"/>
      <c r="FL44" s="54"/>
      <c r="FM44" s="54"/>
      <c r="FN44" s="54"/>
      <c r="FO44" s="54"/>
      <c r="FP44" s="54"/>
      <c r="FQ44" s="54"/>
      <c r="FR44" s="54"/>
      <c r="FS44" s="54"/>
      <c r="FT44" s="54"/>
      <c r="FU44" s="54"/>
      <c r="FV44" s="54"/>
      <c r="FW44" s="54"/>
      <c r="FX44" s="54"/>
      <c r="FY44" s="54"/>
      <c r="FZ44" s="54"/>
      <c r="GA44" s="54"/>
      <c r="GB44" s="54"/>
      <c r="GC44" s="54"/>
      <c r="GD44" s="54"/>
      <c r="GE44" s="54"/>
      <c r="GF44" s="54"/>
      <c r="GG44" s="54"/>
      <c r="GH44" s="54"/>
      <c r="GI44" s="54"/>
      <c r="GJ44" s="54"/>
      <c r="GK44" s="54"/>
      <c r="GL44" s="54"/>
      <c r="GM44" s="54"/>
      <c r="GN44" s="54"/>
      <c r="GO44" s="54"/>
      <c r="GP44" s="54"/>
      <c r="GQ44" s="54"/>
      <c r="GR44" s="54"/>
      <c r="GS44" s="54"/>
      <c r="GT44" s="54"/>
      <c r="GU44" s="54"/>
      <c r="GV44" s="54"/>
      <c r="GW44" s="54"/>
      <c r="GX44" s="54"/>
      <c r="GY44" s="54"/>
      <c r="GZ44" s="54"/>
      <c r="HA44" s="54"/>
      <c r="HB44" s="54"/>
      <c r="HC44" s="54"/>
      <c r="HD44" s="54"/>
    </row>
    <row r="45" spans="1:212" s="5" customFormat="1" ht="13.5" customHeight="1" thickBot="1">
      <c r="A45" s="11"/>
      <c r="B45" s="83"/>
      <c r="C45" s="84"/>
      <c r="D45" s="37" t="s">
        <v>25</v>
      </c>
      <c r="E45" s="38"/>
      <c r="F45" s="38"/>
      <c r="G45" s="60">
        <f>_xlfn.DAYS(F45, E45)</f>
        <v>0</v>
      </c>
      <c r="H45" s="86"/>
      <c r="I45" s="87"/>
      <c r="J45" s="30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  <c r="BW45" s="17"/>
      <c r="BX45" s="17"/>
      <c r="BY45" s="17"/>
      <c r="BZ45" s="17"/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17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17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17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17"/>
      <c r="EQ45" s="17"/>
      <c r="ER45" s="17"/>
      <c r="ES45" s="17"/>
      <c r="ET45" s="17"/>
      <c r="EU45" s="17"/>
      <c r="EV45" s="17"/>
      <c r="EW45" s="17"/>
      <c r="EX45" s="17"/>
      <c r="EY45" s="17"/>
      <c r="EZ45" s="17"/>
      <c r="FA45" s="17"/>
      <c r="FB45" s="17"/>
      <c r="FC45" s="17"/>
      <c r="FD45" s="17"/>
      <c r="FE45" s="17"/>
      <c r="FF45" s="17"/>
      <c r="FG45" s="17"/>
      <c r="FH45" s="17"/>
      <c r="FI45" s="17"/>
      <c r="FJ45" s="31"/>
      <c r="FL45" s="54"/>
      <c r="FM45" s="54"/>
      <c r="FN45" s="54"/>
      <c r="FO45" s="54"/>
      <c r="FP45" s="54"/>
      <c r="FQ45" s="54"/>
      <c r="FR45" s="54"/>
      <c r="FS45" s="54"/>
      <c r="FT45" s="54"/>
      <c r="FU45" s="54"/>
      <c r="FV45" s="54"/>
      <c r="FW45" s="54"/>
      <c r="FX45" s="54"/>
      <c r="FY45" s="54"/>
      <c r="FZ45" s="54"/>
      <c r="GA45" s="54"/>
      <c r="GB45" s="54"/>
      <c r="GC45" s="54"/>
      <c r="GD45" s="54"/>
      <c r="GE45" s="54"/>
      <c r="GF45" s="54"/>
      <c r="GG45" s="54"/>
      <c r="GH45" s="54"/>
      <c r="GI45" s="54"/>
      <c r="GJ45" s="54"/>
      <c r="GK45" s="54"/>
      <c r="GL45" s="54"/>
      <c r="GM45" s="54"/>
      <c r="GN45" s="54"/>
      <c r="GO45" s="54"/>
      <c r="GP45" s="54"/>
      <c r="GQ45" s="54"/>
      <c r="GR45" s="54"/>
      <c r="GS45" s="54"/>
      <c r="GT45" s="54"/>
      <c r="GU45" s="54"/>
      <c r="GV45" s="54"/>
      <c r="GW45" s="54"/>
      <c r="GX45" s="54"/>
      <c r="GY45" s="54"/>
      <c r="GZ45" s="54"/>
      <c r="HA45" s="54"/>
      <c r="HB45" s="54"/>
      <c r="HC45" s="54"/>
      <c r="HD45" s="54"/>
    </row>
    <row r="46" spans="1:212" s="5" customFormat="1" ht="5.25" customHeight="1" thickBot="1">
      <c r="A46" s="11"/>
      <c r="B46" s="80"/>
      <c r="C46" s="80"/>
      <c r="D46" s="8"/>
      <c r="E46" s="9"/>
      <c r="F46" s="9"/>
      <c r="G46" s="61"/>
      <c r="H46" s="9"/>
      <c r="I46" s="6"/>
      <c r="J46" s="30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17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17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17"/>
      <c r="EQ46" s="17"/>
      <c r="ER46" s="17"/>
      <c r="ES46" s="17"/>
      <c r="ET46" s="17"/>
      <c r="EU46" s="17"/>
      <c r="EV46" s="17"/>
      <c r="EW46" s="17"/>
      <c r="EX46" s="17"/>
      <c r="EY46" s="17"/>
      <c r="EZ46" s="17"/>
      <c r="FA46" s="17"/>
      <c r="FB46" s="17"/>
      <c r="FC46" s="17"/>
      <c r="FD46" s="17"/>
      <c r="FE46" s="17"/>
      <c r="FF46" s="17"/>
      <c r="FG46" s="17"/>
      <c r="FH46" s="17"/>
      <c r="FI46" s="17"/>
      <c r="FJ46" s="31"/>
      <c r="FL46" s="54"/>
      <c r="FM46" s="54"/>
      <c r="FN46" s="54"/>
      <c r="FO46" s="54"/>
      <c r="FP46" s="54"/>
      <c r="FQ46" s="54"/>
      <c r="FR46" s="54"/>
      <c r="FS46" s="54"/>
      <c r="FT46" s="54"/>
      <c r="FU46" s="54"/>
      <c r="FV46" s="54"/>
      <c r="FW46" s="54"/>
      <c r="FX46" s="54"/>
      <c r="FY46" s="54"/>
      <c r="FZ46" s="54"/>
      <c r="GA46" s="54"/>
      <c r="GB46" s="54"/>
      <c r="GC46" s="54"/>
      <c r="GD46" s="54"/>
      <c r="GE46" s="54"/>
      <c r="GF46" s="54"/>
      <c r="GG46" s="54"/>
      <c r="GH46" s="54"/>
      <c r="GI46" s="54"/>
      <c r="GJ46" s="54"/>
      <c r="GK46" s="54"/>
      <c r="GL46" s="54"/>
      <c r="GM46" s="54"/>
      <c r="GN46" s="54"/>
      <c r="GO46" s="54"/>
      <c r="GP46" s="54"/>
      <c r="GQ46" s="54"/>
      <c r="GR46" s="54"/>
      <c r="GS46" s="54"/>
      <c r="GT46" s="54"/>
      <c r="GU46" s="54"/>
      <c r="GV46" s="54"/>
      <c r="GW46" s="54"/>
      <c r="GX46" s="54"/>
      <c r="GY46" s="54"/>
      <c r="GZ46" s="54"/>
      <c r="HA46" s="54"/>
      <c r="HB46" s="54"/>
      <c r="HC46" s="54"/>
      <c r="HD46" s="54"/>
    </row>
    <row r="47" spans="1:212" s="5" customFormat="1" ht="13.5" customHeight="1">
      <c r="A47" s="11"/>
      <c r="B47" s="81" t="s">
        <v>41</v>
      </c>
      <c r="C47" s="82"/>
      <c r="D47" s="35" t="s">
        <v>24</v>
      </c>
      <c r="E47" s="36">
        <v>45048</v>
      </c>
      <c r="F47" s="70">
        <v>45048</v>
      </c>
      <c r="G47" s="59">
        <f>_xlfn.DAYS(F47, E47)</f>
        <v>0</v>
      </c>
      <c r="H47" s="85" t="s">
        <v>42</v>
      </c>
      <c r="I47" s="87"/>
      <c r="J47" s="30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17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17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17"/>
      <c r="EQ47" s="17"/>
      <c r="ER47" s="17"/>
      <c r="ES47" s="17"/>
      <c r="ET47" s="17"/>
      <c r="EU47" s="17"/>
      <c r="EV47" s="17"/>
      <c r="EW47" s="17"/>
      <c r="EX47" s="17"/>
      <c r="EY47" s="17"/>
      <c r="EZ47" s="17"/>
      <c r="FA47" s="17"/>
      <c r="FB47" s="17"/>
      <c r="FC47" s="17"/>
      <c r="FD47" s="17"/>
      <c r="FE47" s="17"/>
      <c r="FF47" s="17"/>
      <c r="FG47" s="17"/>
      <c r="FH47" s="17"/>
      <c r="FI47" s="17"/>
      <c r="FJ47" s="31"/>
      <c r="FL47" s="54"/>
      <c r="FM47" s="54"/>
      <c r="FN47" s="54"/>
      <c r="FO47" s="54"/>
      <c r="FP47" s="54"/>
      <c r="FQ47" s="54"/>
      <c r="FR47" s="54"/>
      <c r="FS47" s="54"/>
      <c r="FT47" s="54"/>
      <c r="FU47" s="54"/>
      <c r="FV47" s="54"/>
      <c r="FW47" s="54"/>
      <c r="FX47" s="54"/>
      <c r="FY47" s="54"/>
      <c r="FZ47" s="54"/>
      <c r="GA47" s="54"/>
      <c r="GB47" s="54"/>
      <c r="GC47" s="54"/>
      <c r="GD47" s="54"/>
      <c r="GE47" s="54"/>
      <c r="GF47" s="54"/>
      <c r="GG47" s="54"/>
      <c r="GH47" s="54"/>
      <c r="GI47" s="54"/>
      <c r="GJ47" s="54"/>
      <c r="GK47" s="54"/>
      <c r="GL47" s="54"/>
      <c r="GM47" s="54"/>
      <c r="GN47" s="54"/>
      <c r="GO47" s="54"/>
      <c r="GP47" s="54"/>
      <c r="GQ47" s="54"/>
      <c r="GR47" s="54"/>
      <c r="GS47" s="54"/>
      <c r="GT47" s="54"/>
      <c r="GU47" s="54"/>
      <c r="GV47" s="54"/>
      <c r="GW47" s="54"/>
      <c r="GX47" s="54"/>
      <c r="GY47" s="54"/>
      <c r="GZ47" s="54"/>
      <c r="HA47" s="54"/>
      <c r="HB47" s="54"/>
      <c r="HC47" s="54"/>
      <c r="HD47" s="54"/>
    </row>
    <row r="48" spans="1:212" s="5" customFormat="1" ht="13.5" customHeight="1" thickBot="1">
      <c r="A48" s="11"/>
      <c r="B48" s="83"/>
      <c r="C48" s="84"/>
      <c r="D48" s="37" t="s">
        <v>25</v>
      </c>
      <c r="E48" s="38"/>
      <c r="F48" s="38"/>
      <c r="G48" s="60">
        <f>_xlfn.DAYS(F48, E48)</f>
        <v>0</v>
      </c>
      <c r="H48" s="86"/>
      <c r="I48" s="87"/>
      <c r="J48" s="30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17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17"/>
      <c r="EQ48" s="17"/>
      <c r="ER48" s="17"/>
      <c r="ES48" s="17"/>
      <c r="ET48" s="17"/>
      <c r="EU48" s="17"/>
      <c r="EV48" s="17"/>
      <c r="EW48" s="17"/>
      <c r="EX48" s="17"/>
      <c r="EY48" s="17"/>
      <c r="EZ48" s="17"/>
      <c r="FA48" s="17"/>
      <c r="FB48" s="17"/>
      <c r="FC48" s="17"/>
      <c r="FD48" s="17"/>
      <c r="FE48" s="17"/>
      <c r="FF48" s="17"/>
      <c r="FG48" s="17"/>
      <c r="FH48" s="17"/>
      <c r="FI48" s="17"/>
      <c r="FJ48" s="31"/>
      <c r="FL48" s="54"/>
      <c r="FM48" s="54"/>
      <c r="FN48" s="54"/>
      <c r="FO48" s="54"/>
      <c r="FP48" s="54"/>
      <c r="FQ48" s="54"/>
      <c r="FR48" s="54"/>
      <c r="FS48" s="54"/>
      <c r="FT48" s="54"/>
      <c r="FU48" s="54"/>
      <c r="FV48" s="54"/>
      <c r="FW48" s="54"/>
      <c r="FX48" s="54"/>
      <c r="FY48" s="54"/>
      <c r="FZ48" s="54"/>
      <c r="GA48" s="54"/>
      <c r="GB48" s="54"/>
      <c r="GC48" s="54"/>
      <c r="GD48" s="54"/>
      <c r="GE48" s="54"/>
      <c r="GF48" s="54"/>
      <c r="GG48" s="54"/>
      <c r="GH48" s="54"/>
      <c r="GI48" s="54"/>
      <c r="GJ48" s="54"/>
      <c r="GK48" s="54"/>
      <c r="GL48" s="54"/>
      <c r="GM48" s="54"/>
      <c r="GN48" s="54"/>
      <c r="GO48" s="54"/>
      <c r="GP48" s="54"/>
      <c r="GQ48" s="54"/>
      <c r="GR48" s="54"/>
      <c r="GS48" s="54"/>
      <c r="GT48" s="54"/>
      <c r="GU48" s="54"/>
      <c r="GV48" s="54"/>
      <c r="GW48" s="54"/>
      <c r="GX48" s="54"/>
      <c r="GY48" s="54"/>
      <c r="GZ48" s="54"/>
      <c r="HA48" s="54"/>
      <c r="HB48" s="54"/>
      <c r="HC48" s="54"/>
      <c r="HD48" s="54"/>
    </row>
    <row r="49" spans="1:212" s="5" customFormat="1" ht="5.25" customHeight="1" thickBot="1">
      <c r="A49" s="11"/>
      <c r="B49" s="80"/>
      <c r="C49" s="80"/>
      <c r="D49" s="8"/>
      <c r="E49" s="9"/>
      <c r="F49" s="9"/>
      <c r="G49" s="61"/>
      <c r="H49" s="9"/>
      <c r="I49" s="6"/>
      <c r="J49" s="30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17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17"/>
      <c r="EQ49" s="17"/>
      <c r="ER49" s="17"/>
      <c r="ES49" s="17"/>
      <c r="ET49" s="17"/>
      <c r="EU49" s="17"/>
      <c r="EV49" s="17"/>
      <c r="EW49" s="17"/>
      <c r="EX49" s="17"/>
      <c r="EY49" s="17"/>
      <c r="EZ49" s="17"/>
      <c r="FA49" s="17"/>
      <c r="FB49" s="17"/>
      <c r="FC49" s="17"/>
      <c r="FD49" s="17"/>
      <c r="FE49" s="17"/>
      <c r="FF49" s="17"/>
      <c r="FG49" s="17"/>
      <c r="FH49" s="17"/>
      <c r="FI49" s="17"/>
      <c r="FJ49" s="31"/>
      <c r="FL49" s="54"/>
      <c r="FM49" s="54"/>
      <c r="FN49" s="54"/>
      <c r="FO49" s="54"/>
      <c r="FP49" s="54"/>
      <c r="FQ49" s="54"/>
      <c r="FR49" s="54"/>
      <c r="FS49" s="54"/>
      <c r="FT49" s="54"/>
      <c r="FU49" s="54"/>
      <c r="FV49" s="54"/>
      <c r="FW49" s="54"/>
      <c r="FX49" s="54"/>
      <c r="FY49" s="54"/>
      <c r="FZ49" s="54"/>
      <c r="GA49" s="54"/>
      <c r="GB49" s="54"/>
      <c r="GC49" s="54"/>
      <c r="GD49" s="54"/>
      <c r="GE49" s="54"/>
      <c r="GF49" s="54"/>
      <c r="GG49" s="54"/>
      <c r="GH49" s="54"/>
      <c r="GI49" s="54"/>
      <c r="GJ49" s="54"/>
      <c r="GK49" s="54"/>
      <c r="GL49" s="54"/>
      <c r="GM49" s="54"/>
      <c r="GN49" s="54"/>
      <c r="GO49" s="54"/>
      <c r="GP49" s="54"/>
      <c r="GQ49" s="54"/>
      <c r="GR49" s="54"/>
      <c r="GS49" s="54"/>
      <c r="GT49" s="54"/>
      <c r="GU49" s="54"/>
      <c r="GV49" s="54"/>
      <c r="GW49" s="54"/>
      <c r="GX49" s="54"/>
      <c r="GY49" s="54"/>
      <c r="GZ49" s="54"/>
      <c r="HA49" s="54"/>
      <c r="HB49" s="54"/>
      <c r="HC49" s="54"/>
      <c r="HD49" s="54"/>
    </row>
    <row r="50" spans="1:212" s="5" customFormat="1" ht="13.5" customHeight="1">
      <c r="A50" s="11"/>
      <c r="B50" s="81" t="s">
        <v>43</v>
      </c>
      <c r="C50" s="82"/>
      <c r="D50" s="35" t="s">
        <v>24</v>
      </c>
      <c r="E50" s="36">
        <v>45048</v>
      </c>
      <c r="F50" s="70">
        <v>45072</v>
      </c>
      <c r="G50" s="59">
        <f>_xlfn.DAYS(F50, E50)</f>
        <v>24</v>
      </c>
      <c r="H50" s="85" t="s">
        <v>44</v>
      </c>
      <c r="I50" s="87"/>
      <c r="J50" s="30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BZ50" s="17"/>
      <c r="CA50" s="17"/>
      <c r="CB50" s="17"/>
      <c r="CC50" s="17"/>
      <c r="CD50" s="17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17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17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17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17"/>
      <c r="EQ50" s="17"/>
      <c r="ER50" s="17"/>
      <c r="ES50" s="17"/>
      <c r="ET50" s="17"/>
      <c r="EU50" s="17"/>
      <c r="EV50" s="17"/>
      <c r="EW50" s="17"/>
      <c r="EX50" s="17"/>
      <c r="EY50" s="17"/>
      <c r="EZ50" s="17"/>
      <c r="FA50" s="17"/>
      <c r="FB50" s="17"/>
      <c r="FC50" s="17"/>
      <c r="FD50" s="17"/>
      <c r="FE50" s="17"/>
      <c r="FF50" s="17"/>
      <c r="FG50" s="17"/>
      <c r="FH50" s="17"/>
      <c r="FI50" s="17"/>
      <c r="FJ50" s="31"/>
      <c r="FL50" s="54"/>
      <c r="FM50" s="54"/>
      <c r="FN50" s="54"/>
      <c r="FO50" s="54"/>
      <c r="FP50" s="54"/>
      <c r="FQ50" s="54"/>
      <c r="FR50" s="54"/>
      <c r="FS50" s="54"/>
      <c r="FT50" s="54"/>
      <c r="FU50" s="54"/>
      <c r="FV50" s="54"/>
      <c r="FW50" s="54"/>
      <c r="FX50" s="54"/>
      <c r="FY50" s="54"/>
      <c r="FZ50" s="54"/>
      <c r="GA50" s="54"/>
      <c r="GB50" s="54"/>
      <c r="GC50" s="54"/>
      <c r="GD50" s="54"/>
      <c r="GE50" s="54"/>
      <c r="GF50" s="54"/>
      <c r="GG50" s="54"/>
      <c r="GH50" s="54"/>
      <c r="GI50" s="54"/>
      <c r="GJ50" s="54"/>
      <c r="GK50" s="54"/>
      <c r="GL50" s="54"/>
      <c r="GM50" s="54"/>
      <c r="GN50" s="54"/>
      <c r="GO50" s="54"/>
      <c r="GP50" s="54"/>
      <c r="GQ50" s="54"/>
      <c r="GR50" s="54"/>
      <c r="GS50" s="54"/>
      <c r="GT50" s="54"/>
      <c r="GU50" s="54"/>
      <c r="GV50" s="54"/>
      <c r="GW50" s="54"/>
      <c r="GX50" s="54"/>
      <c r="GY50" s="54"/>
      <c r="GZ50" s="54"/>
      <c r="HA50" s="54"/>
      <c r="HB50" s="54"/>
      <c r="HC50" s="54"/>
      <c r="HD50" s="54"/>
    </row>
    <row r="51" spans="1:212" s="5" customFormat="1" ht="13.5" customHeight="1" thickBot="1">
      <c r="A51" s="11"/>
      <c r="B51" s="83"/>
      <c r="C51" s="84"/>
      <c r="D51" s="37" t="s">
        <v>25</v>
      </c>
      <c r="E51" s="38"/>
      <c r="F51" s="38"/>
      <c r="G51" s="60">
        <f>_xlfn.DAYS(F51, E51)</f>
        <v>0</v>
      </c>
      <c r="H51" s="86"/>
      <c r="I51" s="87"/>
      <c r="J51" s="30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BZ51" s="17"/>
      <c r="CA51" s="17"/>
      <c r="CB51" s="17"/>
      <c r="CC51" s="17"/>
      <c r="CD51" s="17"/>
      <c r="CE51" s="17"/>
      <c r="CF51" s="17"/>
      <c r="CG51" s="17"/>
      <c r="CH51" s="17"/>
      <c r="CI51" s="17"/>
      <c r="CJ51" s="17"/>
      <c r="CK51" s="17"/>
      <c r="CL51" s="17"/>
      <c r="CM51" s="17"/>
      <c r="CN51" s="17"/>
      <c r="CO51" s="17"/>
      <c r="CP51" s="17"/>
      <c r="CQ51" s="17"/>
      <c r="CR51" s="17"/>
      <c r="CS51" s="17"/>
      <c r="CT51" s="17"/>
      <c r="CU51" s="17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17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17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17"/>
      <c r="EQ51" s="17"/>
      <c r="ER51" s="17"/>
      <c r="ES51" s="17"/>
      <c r="ET51" s="17"/>
      <c r="EU51" s="17"/>
      <c r="EV51" s="17"/>
      <c r="EW51" s="17"/>
      <c r="EX51" s="17"/>
      <c r="EY51" s="17"/>
      <c r="EZ51" s="17"/>
      <c r="FA51" s="17"/>
      <c r="FB51" s="17"/>
      <c r="FC51" s="17"/>
      <c r="FD51" s="17"/>
      <c r="FE51" s="17"/>
      <c r="FF51" s="17"/>
      <c r="FG51" s="17"/>
      <c r="FH51" s="17"/>
      <c r="FI51" s="17"/>
      <c r="FJ51" s="31"/>
      <c r="FL51" s="54"/>
      <c r="FM51" s="54"/>
      <c r="FN51" s="54"/>
      <c r="FO51" s="54"/>
      <c r="FP51" s="54"/>
      <c r="FQ51" s="54"/>
      <c r="FR51" s="54"/>
      <c r="FS51" s="54"/>
      <c r="FT51" s="54"/>
      <c r="FU51" s="54"/>
      <c r="FV51" s="54"/>
      <c r="FW51" s="54"/>
      <c r="FX51" s="54"/>
      <c r="FY51" s="54"/>
      <c r="FZ51" s="54"/>
      <c r="GA51" s="54"/>
      <c r="GB51" s="54"/>
      <c r="GC51" s="54"/>
      <c r="GD51" s="54"/>
      <c r="GE51" s="54"/>
      <c r="GF51" s="54"/>
      <c r="GG51" s="54"/>
      <c r="GH51" s="54"/>
      <c r="GI51" s="54"/>
      <c r="GJ51" s="54"/>
      <c r="GK51" s="54"/>
      <c r="GL51" s="54"/>
      <c r="GM51" s="54"/>
      <c r="GN51" s="54"/>
      <c r="GO51" s="54"/>
      <c r="GP51" s="54"/>
      <c r="GQ51" s="54"/>
      <c r="GR51" s="54"/>
      <c r="GS51" s="54"/>
      <c r="GT51" s="54"/>
      <c r="GU51" s="54"/>
      <c r="GV51" s="54"/>
      <c r="GW51" s="54"/>
      <c r="GX51" s="54"/>
      <c r="GY51" s="54"/>
      <c r="GZ51" s="54"/>
      <c r="HA51" s="54"/>
      <c r="HB51" s="54"/>
      <c r="HC51" s="54"/>
      <c r="HD51" s="54"/>
    </row>
    <row r="52" spans="1:212" s="5" customFormat="1" ht="5.25" customHeight="1" thickBot="1">
      <c r="A52" s="11"/>
      <c r="B52" s="80"/>
      <c r="C52" s="80"/>
      <c r="D52" s="8"/>
      <c r="E52" s="9"/>
      <c r="F52" s="9"/>
      <c r="G52" s="61"/>
      <c r="H52" s="9"/>
      <c r="I52" s="6"/>
      <c r="J52" s="30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F52" s="17"/>
      <c r="CG52" s="17"/>
      <c r="CH52" s="17"/>
      <c r="CI52" s="17"/>
      <c r="CJ52" s="17"/>
      <c r="CK52" s="17"/>
      <c r="CL52" s="17"/>
      <c r="CM52" s="17"/>
      <c r="CN52" s="17"/>
      <c r="CO52" s="17"/>
      <c r="CP52" s="17"/>
      <c r="CQ52" s="17"/>
      <c r="CR52" s="17"/>
      <c r="CS52" s="17"/>
      <c r="CT52" s="17"/>
      <c r="CU52" s="17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17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17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17"/>
      <c r="EQ52" s="17"/>
      <c r="ER52" s="17"/>
      <c r="ES52" s="17"/>
      <c r="ET52" s="17"/>
      <c r="EU52" s="17"/>
      <c r="EV52" s="17"/>
      <c r="EW52" s="17"/>
      <c r="EX52" s="17"/>
      <c r="EY52" s="17"/>
      <c r="EZ52" s="17"/>
      <c r="FA52" s="17"/>
      <c r="FB52" s="17"/>
      <c r="FC52" s="17"/>
      <c r="FD52" s="17"/>
      <c r="FE52" s="17"/>
      <c r="FF52" s="17"/>
      <c r="FG52" s="17"/>
      <c r="FH52" s="17"/>
      <c r="FI52" s="17"/>
      <c r="FJ52" s="31"/>
      <c r="FL52" s="54"/>
      <c r="FM52" s="54"/>
      <c r="FN52" s="54"/>
      <c r="FO52" s="54"/>
      <c r="FP52" s="54"/>
      <c r="FQ52" s="54"/>
      <c r="FR52" s="54"/>
      <c r="FS52" s="54"/>
      <c r="FT52" s="54"/>
      <c r="FU52" s="54"/>
      <c r="FV52" s="54"/>
      <c r="FW52" s="54"/>
      <c r="FX52" s="54"/>
      <c r="FY52" s="54"/>
      <c r="FZ52" s="54"/>
      <c r="GA52" s="54"/>
      <c r="GB52" s="54"/>
      <c r="GC52" s="54"/>
      <c r="GD52" s="54"/>
      <c r="GE52" s="54"/>
      <c r="GF52" s="54"/>
      <c r="GG52" s="54"/>
      <c r="GH52" s="54"/>
      <c r="GI52" s="54"/>
      <c r="GJ52" s="54"/>
      <c r="GK52" s="54"/>
      <c r="GL52" s="54"/>
      <c r="GM52" s="54"/>
      <c r="GN52" s="54"/>
      <c r="GO52" s="54"/>
      <c r="GP52" s="54"/>
      <c r="GQ52" s="54"/>
      <c r="GR52" s="54"/>
      <c r="GS52" s="54"/>
      <c r="GT52" s="54"/>
      <c r="GU52" s="54"/>
      <c r="GV52" s="54"/>
      <c r="GW52" s="54"/>
      <c r="GX52" s="54"/>
      <c r="GY52" s="54"/>
      <c r="GZ52" s="54"/>
      <c r="HA52" s="54"/>
      <c r="HB52" s="54"/>
      <c r="HC52" s="54"/>
      <c r="HD52" s="54"/>
    </row>
    <row r="53" spans="1:212" s="5" customFormat="1" ht="13.5" customHeight="1">
      <c r="A53" s="11"/>
      <c r="B53" s="81" t="s">
        <v>45</v>
      </c>
      <c r="C53" s="82"/>
      <c r="D53" s="35" t="s">
        <v>24</v>
      </c>
      <c r="E53" s="36">
        <v>45048</v>
      </c>
      <c r="F53" s="70">
        <v>45072</v>
      </c>
      <c r="G53" s="59">
        <f>_xlfn.DAYS(F53, E53)</f>
        <v>24</v>
      </c>
      <c r="H53" s="85" t="s">
        <v>46</v>
      </c>
      <c r="I53" s="87"/>
      <c r="J53" s="30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F53" s="17"/>
      <c r="CG53" s="17"/>
      <c r="CH53" s="17"/>
      <c r="CI53" s="17"/>
      <c r="CJ53" s="17"/>
      <c r="CK53" s="17"/>
      <c r="CL53" s="17"/>
      <c r="CM53" s="17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17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17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17"/>
      <c r="EQ53" s="17"/>
      <c r="ER53" s="17"/>
      <c r="ES53" s="17"/>
      <c r="ET53" s="17"/>
      <c r="EU53" s="17"/>
      <c r="EV53" s="17"/>
      <c r="EW53" s="17"/>
      <c r="EX53" s="17"/>
      <c r="EY53" s="17"/>
      <c r="EZ53" s="17"/>
      <c r="FA53" s="17"/>
      <c r="FB53" s="17"/>
      <c r="FC53" s="17"/>
      <c r="FD53" s="17"/>
      <c r="FE53" s="17"/>
      <c r="FF53" s="17"/>
      <c r="FG53" s="17"/>
      <c r="FH53" s="17"/>
      <c r="FI53" s="17"/>
      <c r="FJ53" s="31"/>
      <c r="FL53" s="54"/>
      <c r="FM53" s="54"/>
      <c r="FN53" s="54"/>
      <c r="FO53" s="54"/>
      <c r="FP53" s="54"/>
      <c r="FQ53" s="54"/>
      <c r="FR53" s="54"/>
      <c r="FS53" s="54"/>
      <c r="FT53" s="54"/>
      <c r="FU53" s="54"/>
      <c r="FV53" s="54"/>
      <c r="FW53" s="54"/>
      <c r="FX53" s="54"/>
      <c r="FY53" s="54"/>
      <c r="FZ53" s="54"/>
      <c r="GA53" s="54"/>
      <c r="GB53" s="54"/>
      <c r="GC53" s="54"/>
      <c r="GD53" s="54"/>
      <c r="GE53" s="54"/>
      <c r="GF53" s="54"/>
      <c r="GG53" s="54"/>
      <c r="GH53" s="54"/>
      <c r="GI53" s="54"/>
      <c r="GJ53" s="54"/>
      <c r="GK53" s="54"/>
      <c r="GL53" s="54"/>
      <c r="GM53" s="54"/>
      <c r="GN53" s="54"/>
      <c r="GO53" s="54"/>
      <c r="GP53" s="54"/>
      <c r="GQ53" s="54"/>
      <c r="GR53" s="54"/>
      <c r="GS53" s="54"/>
      <c r="GT53" s="54"/>
      <c r="GU53" s="54"/>
      <c r="GV53" s="54"/>
      <c r="GW53" s="54"/>
      <c r="GX53" s="54"/>
      <c r="GY53" s="54"/>
      <c r="GZ53" s="54"/>
      <c r="HA53" s="54"/>
      <c r="HB53" s="54"/>
      <c r="HC53" s="54"/>
      <c r="HD53" s="54"/>
    </row>
    <row r="54" spans="1:212" s="5" customFormat="1" ht="13.5" customHeight="1" thickBot="1">
      <c r="A54" s="11"/>
      <c r="B54" s="83"/>
      <c r="C54" s="84"/>
      <c r="D54" s="37" t="s">
        <v>25</v>
      </c>
      <c r="E54" s="38"/>
      <c r="F54" s="38"/>
      <c r="G54" s="60">
        <f>_xlfn.DAYS(F54, E54)</f>
        <v>0</v>
      </c>
      <c r="H54" s="86"/>
      <c r="I54" s="87"/>
      <c r="J54" s="30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 s="17"/>
      <c r="CD54" s="17"/>
      <c r="CE54" s="17"/>
      <c r="CF54" s="17"/>
      <c r="CG54" s="17"/>
      <c r="CH54" s="17"/>
      <c r="CI54" s="17"/>
      <c r="CJ54" s="17"/>
      <c r="CK54" s="17"/>
      <c r="CL54" s="17"/>
      <c r="CM54" s="17"/>
      <c r="CN54" s="17"/>
      <c r="CO54" s="17"/>
      <c r="CP54" s="17"/>
      <c r="CQ54" s="17"/>
      <c r="CR54" s="17"/>
      <c r="CS54" s="17"/>
      <c r="CT54" s="17"/>
      <c r="CU54" s="17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17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7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17"/>
      <c r="EQ54" s="17"/>
      <c r="ER54" s="17"/>
      <c r="ES54" s="17"/>
      <c r="ET54" s="17"/>
      <c r="EU54" s="17"/>
      <c r="EV54" s="17"/>
      <c r="EW54" s="17"/>
      <c r="EX54" s="17"/>
      <c r="EY54" s="17"/>
      <c r="EZ54" s="17"/>
      <c r="FA54" s="17"/>
      <c r="FB54" s="17"/>
      <c r="FC54" s="17"/>
      <c r="FD54" s="17"/>
      <c r="FE54" s="17"/>
      <c r="FF54" s="17"/>
      <c r="FG54" s="17"/>
      <c r="FH54" s="17"/>
      <c r="FI54" s="17"/>
      <c r="FJ54" s="31"/>
      <c r="FL54" s="54"/>
      <c r="FM54" s="54"/>
      <c r="FN54" s="54"/>
      <c r="FO54" s="54"/>
      <c r="FP54" s="54"/>
      <c r="FQ54" s="54"/>
      <c r="FR54" s="54"/>
      <c r="FS54" s="54"/>
      <c r="FT54" s="54"/>
      <c r="FU54" s="54"/>
      <c r="FV54" s="54"/>
      <c r="FW54" s="54"/>
      <c r="FX54" s="54"/>
      <c r="FY54" s="54"/>
      <c r="FZ54" s="54"/>
      <c r="GA54" s="54"/>
      <c r="GB54" s="54"/>
      <c r="GC54" s="54"/>
      <c r="GD54" s="54"/>
      <c r="GE54" s="54"/>
      <c r="GF54" s="54"/>
      <c r="GG54" s="54"/>
      <c r="GH54" s="54"/>
      <c r="GI54" s="54"/>
      <c r="GJ54" s="54"/>
      <c r="GK54" s="54"/>
      <c r="GL54" s="54"/>
      <c r="GM54" s="54"/>
      <c r="GN54" s="54"/>
      <c r="GO54" s="54"/>
      <c r="GP54" s="54"/>
      <c r="GQ54" s="54"/>
      <c r="GR54" s="54"/>
      <c r="GS54" s="54"/>
      <c r="GT54" s="54"/>
      <c r="GU54" s="54"/>
      <c r="GV54" s="54"/>
      <c r="GW54" s="54"/>
      <c r="GX54" s="54"/>
      <c r="GY54" s="54"/>
      <c r="GZ54" s="54"/>
      <c r="HA54" s="54"/>
      <c r="HB54" s="54"/>
      <c r="HC54" s="54"/>
      <c r="HD54" s="54"/>
    </row>
    <row r="55" spans="1:212" s="5" customFormat="1" ht="5.25" customHeight="1" thickBot="1">
      <c r="A55" s="11"/>
      <c r="B55" s="80"/>
      <c r="C55" s="80"/>
      <c r="D55" s="8"/>
      <c r="E55" s="9"/>
      <c r="F55" s="9"/>
      <c r="G55" s="61"/>
      <c r="H55" s="9"/>
      <c r="I55" s="6"/>
      <c r="J55" s="30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17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17"/>
      <c r="EQ55" s="17"/>
      <c r="ER55" s="17"/>
      <c r="ES55" s="17"/>
      <c r="ET55" s="17"/>
      <c r="EU55" s="17"/>
      <c r="EV55" s="17"/>
      <c r="EW55" s="17"/>
      <c r="EX55" s="17"/>
      <c r="EY55" s="17"/>
      <c r="EZ55" s="17"/>
      <c r="FA55" s="17"/>
      <c r="FB55" s="17"/>
      <c r="FC55" s="17"/>
      <c r="FD55" s="17"/>
      <c r="FE55" s="17"/>
      <c r="FF55" s="17"/>
      <c r="FG55" s="17"/>
      <c r="FH55" s="17"/>
      <c r="FI55" s="17"/>
      <c r="FJ55" s="31"/>
      <c r="FL55" s="54"/>
      <c r="FM55" s="54"/>
      <c r="FN55" s="54"/>
      <c r="FO55" s="54"/>
      <c r="FP55" s="54"/>
      <c r="FQ55" s="54"/>
      <c r="FR55" s="54"/>
      <c r="FS55" s="54"/>
      <c r="FT55" s="54"/>
      <c r="FU55" s="54"/>
      <c r="FV55" s="54"/>
      <c r="FW55" s="54"/>
      <c r="FX55" s="54"/>
      <c r="FY55" s="54"/>
      <c r="FZ55" s="54"/>
      <c r="GA55" s="54"/>
      <c r="GB55" s="54"/>
      <c r="GC55" s="54"/>
      <c r="GD55" s="54"/>
      <c r="GE55" s="54"/>
      <c r="GF55" s="54"/>
      <c r="GG55" s="54"/>
      <c r="GH55" s="54"/>
      <c r="GI55" s="54"/>
      <c r="GJ55" s="54"/>
      <c r="GK55" s="54"/>
      <c r="GL55" s="54"/>
      <c r="GM55" s="54"/>
      <c r="GN55" s="54"/>
      <c r="GO55" s="54"/>
      <c r="GP55" s="54"/>
      <c r="GQ55" s="54"/>
      <c r="GR55" s="54"/>
      <c r="GS55" s="54"/>
      <c r="GT55" s="54"/>
      <c r="GU55" s="54"/>
      <c r="GV55" s="54"/>
      <c r="GW55" s="54"/>
      <c r="GX55" s="54"/>
      <c r="GY55" s="54"/>
      <c r="GZ55" s="54"/>
      <c r="HA55" s="54"/>
      <c r="HB55" s="54"/>
      <c r="HC55" s="54"/>
      <c r="HD55" s="54"/>
    </row>
    <row r="56" spans="1:212" s="5" customFormat="1" ht="13.5" customHeight="1">
      <c r="A56" s="11"/>
      <c r="B56" s="98" t="s">
        <v>47</v>
      </c>
      <c r="C56" s="82"/>
      <c r="D56" s="35" t="s">
        <v>24</v>
      </c>
      <c r="E56" s="70">
        <v>45075</v>
      </c>
      <c r="F56" s="70">
        <v>45077</v>
      </c>
      <c r="G56" s="71"/>
      <c r="H56" s="85" t="s">
        <v>27</v>
      </c>
      <c r="I56" s="87"/>
      <c r="J56" s="30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17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17"/>
      <c r="EQ56" s="17"/>
      <c r="ER56" s="17"/>
      <c r="ES56" s="17"/>
      <c r="ET56" s="17"/>
      <c r="EU56" s="17"/>
      <c r="EV56" s="17"/>
      <c r="EW56" s="17"/>
      <c r="EX56" s="17"/>
      <c r="EY56" s="17"/>
      <c r="EZ56" s="17"/>
      <c r="FA56" s="17"/>
      <c r="FB56" s="17"/>
      <c r="FC56" s="17"/>
      <c r="FD56" s="17"/>
      <c r="FE56" s="17"/>
      <c r="FF56" s="17"/>
      <c r="FG56" s="17"/>
      <c r="FH56" s="17"/>
      <c r="FI56" s="17"/>
      <c r="FJ56" s="31"/>
      <c r="FL56" s="54"/>
      <c r="FM56" s="54"/>
      <c r="FN56" s="54"/>
      <c r="FO56" s="54"/>
      <c r="FP56" s="54"/>
      <c r="FQ56" s="54"/>
      <c r="FR56" s="54"/>
      <c r="FS56" s="54"/>
      <c r="FT56" s="54"/>
      <c r="FU56" s="54"/>
      <c r="FV56" s="54"/>
      <c r="FW56" s="54"/>
      <c r="FX56" s="54"/>
      <c r="FY56" s="54"/>
      <c r="FZ56" s="54"/>
      <c r="GA56" s="54"/>
      <c r="GB56" s="54"/>
      <c r="GC56" s="54"/>
      <c r="GD56" s="54"/>
      <c r="GE56" s="54"/>
      <c r="GF56" s="54"/>
      <c r="GG56" s="54"/>
      <c r="GH56" s="54"/>
      <c r="GI56" s="54"/>
      <c r="GJ56" s="54"/>
      <c r="GK56" s="54"/>
      <c r="GL56" s="54"/>
      <c r="GM56" s="54"/>
      <c r="GN56" s="54"/>
      <c r="GO56" s="54"/>
      <c r="GP56" s="54"/>
      <c r="GQ56" s="54"/>
      <c r="GR56" s="54"/>
      <c r="GS56" s="54"/>
      <c r="GT56" s="54"/>
      <c r="GU56" s="54"/>
      <c r="GV56" s="54"/>
      <c r="GW56" s="54"/>
      <c r="GX56" s="54"/>
      <c r="GY56" s="54"/>
      <c r="GZ56" s="54"/>
      <c r="HA56" s="54"/>
      <c r="HB56" s="54"/>
      <c r="HC56" s="54"/>
      <c r="HD56" s="54"/>
    </row>
    <row r="57" spans="1:212" s="5" customFormat="1" ht="13.5" customHeight="1" thickBot="1">
      <c r="A57" s="11"/>
      <c r="B57" s="83"/>
      <c r="C57" s="84"/>
      <c r="D57" s="37" t="s">
        <v>25</v>
      </c>
      <c r="E57" s="38"/>
      <c r="F57" s="38"/>
      <c r="G57" s="72"/>
      <c r="H57" s="86"/>
      <c r="I57" s="87"/>
      <c r="J57" s="30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17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17"/>
      <c r="EQ57" s="17"/>
      <c r="ER57" s="17"/>
      <c r="ES57" s="17"/>
      <c r="ET57" s="17"/>
      <c r="EU57" s="17"/>
      <c r="EV57" s="17"/>
      <c r="EW57" s="17"/>
      <c r="EX57" s="17"/>
      <c r="EY57" s="17"/>
      <c r="EZ57" s="17"/>
      <c r="FA57" s="17"/>
      <c r="FB57" s="17"/>
      <c r="FC57" s="17"/>
      <c r="FD57" s="17"/>
      <c r="FE57" s="17"/>
      <c r="FF57" s="17"/>
      <c r="FG57" s="17"/>
      <c r="FH57" s="17"/>
      <c r="FI57" s="17"/>
      <c r="FJ57" s="31"/>
      <c r="FL57" s="54"/>
      <c r="FM57" s="54"/>
      <c r="FN57" s="54"/>
      <c r="FO57" s="54"/>
      <c r="FP57" s="54"/>
      <c r="FQ57" s="54"/>
      <c r="FR57" s="54"/>
      <c r="FS57" s="54"/>
      <c r="FT57" s="54"/>
      <c r="FU57" s="54"/>
      <c r="FV57" s="54"/>
      <c r="FW57" s="54"/>
      <c r="FX57" s="54"/>
      <c r="FY57" s="54"/>
      <c r="FZ57" s="54"/>
      <c r="GA57" s="54"/>
      <c r="GB57" s="54"/>
      <c r="GC57" s="54"/>
      <c r="GD57" s="54"/>
      <c r="GE57" s="54"/>
      <c r="GF57" s="54"/>
      <c r="GG57" s="54"/>
      <c r="GH57" s="54"/>
      <c r="GI57" s="54"/>
      <c r="GJ57" s="54"/>
      <c r="GK57" s="54"/>
      <c r="GL57" s="54"/>
      <c r="GM57" s="54"/>
      <c r="GN57" s="54"/>
      <c r="GO57" s="54"/>
      <c r="GP57" s="54"/>
      <c r="GQ57" s="54"/>
      <c r="GR57" s="54"/>
      <c r="GS57" s="54"/>
      <c r="GT57" s="54"/>
      <c r="GU57" s="54"/>
      <c r="GV57" s="54"/>
      <c r="GW57" s="54"/>
      <c r="GX57" s="54"/>
      <c r="GY57" s="54"/>
      <c r="GZ57" s="54"/>
      <c r="HA57" s="54"/>
      <c r="HB57" s="54"/>
      <c r="HC57" s="54"/>
      <c r="HD57" s="54"/>
    </row>
    <row r="58" spans="1:212" s="5" customFormat="1" ht="5.25" customHeight="1" thickBot="1">
      <c r="A58" s="11"/>
      <c r="B58" s="80"/>
      <c r="C58" s="80"/>
      <c r="D58" s="8"/>
      <c r="E58" s="9"/>
      <c r="F58" s="9"/>
      <c r="G58" s="61"/>
      <c r="H58" s="9"/>
      <c r="I58" s="6"/>
      <c r="J58" s="30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17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17"/>
      <c r="EQ58" s="17"/>
      <c r="ER58" s="17"/>
      <c r="ES58" s="17"/>
      <c r="ET58" s="17"/>
      <c r="EU58" s="17"/>
      <c r="EV58" s="17"/>
      <c r="EW58" s="17"/>
      <c r="EX58" s="17"/>
      <c r="EY58" s="17"/>
      <c r="EZ58" s="17"/>
      <c r="FA58" s="17"/>
      <c r="FB58" s="17"/>
      <c r="FC58" s="17"/>
      <c r="FD58" s="17"/>
      <c r="FE58" s="17"/>
      <c r="FF58" s="17"/>
      <c r="FG58" s="17"/>
      <c r="FH58" s="17"/>
      <c r="FI58" s="17"/>
      <c r="FJ58" s="31"/>
      <c r="FL58" s="54"/>
      <c r="FM58" s="54"/>
      <c r="FN58" s="54"/>
      <c r="FO58" s="54"/>
      <c r="FP58" s="54"/>
      <c r="FQ58" s="54"/>
      <c r="FR58" s="54"/>
      <c r="FS58" s="54"/>
      <c r="FT58" s="54"/>
      <c r="FU58" s="54"/>
      <c r="FV58" s="54"/>
      <c r="FW58" s="54"/>
      <c r="FX58" s="54"/>
      <c r="FY58" s="54"/>
      <c r="FZ58" s="54"/>
      <c r="GA58" s="54"/>
      <c r="GB58" s="54"/>
      <c r="GC58" s="54"/>
      <c r="GD58" s="54"/>
      <c r="GE58" s="54"/>
      <c r="GF58" s="54"/>
      <c r="GG58" s="54"/>
      <c r="GH58" s="54"/>
      <c r="GI58" s="54"/>
      <c r="GJ58" s="54"/>
      <c r="GK58" s="54"/>
      <c r="GL58" s="54"/>
      <c r="GM58" s="54"/>
      <c r="GN58" s="54"/>
      <c r="GO58" s="54"/>
      <c r="GP58" s="54"/>
      <c r="GQ58" s="54"/>
      <c r="GR58" s="54"/>
      <c r="GS58" s="54"/>
      <c r="GT58" s="54"/>
      <c r="GU58" s="54"/>
      <c r="GV58" s="54"/>
      <c r="GW58" s="54"/>
      <c r="GX58" s="54"/>
      <c r="GY58" s="54"/>
      <c r="GZ58" s="54"/>
      <c r="HA58" s="54"/>
      <c r="HB58" s="54"/>
      <c r="HC58" s="54"/>
      <c r="HD58" s="54"/>
    </row>
    <row r="59" spans="1:212" s="5" customFormat="1" ht="13.5" customHeight="1">
      <c r="A59" s="11"/>
      <c r="B59" s="81"/>
      <c r="C59" s="82"/>
      <c r="D59" s="35"/>
      <c r="E59" s="78"/>
      <c r="F59" s="36"/>
      <c r="G59" s="59"/>
      <c r="H59" s="85"/>
      <c r="I59" s="87"/>
      <c r="J59" s="30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B59" s="17"/>
      <c r="CC59" s="17"/>
      <c r="CD59" s="17"/>
      <c r="CE59" s="17"/>
      <c r="CF59" s="17"/>
      <c r="CG59" s="17"/>
      <c r="CH59" s="17"/>
      <c r="CI59" s="17"/>
      <c r="CJ59" s="17"/>
      <c r="CK59" s="17"/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17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17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17"/>
      <c r="EQ59" s="17"/>
      <c r="ER59" s="17"/>
      <c r="ES59" s="17"/>
      <c r="ET59" s="17"/>
      <c r="EU59" s="17"/>
      <c r="EV59" s="17"/>
      <c r="EW59" s="17"/>
      <c r="EX59" s="17"/>
      <c r="EY59" s="17"/>
      <c r="EZ59" s="17"/>
      <c r="FA59" s="17"/>
      <c r="FB59" s="17"/>
      <c r="FC59" s="17"/>
      <c r="FD59" s="17"/>
      <c r="FE59" s="17"/>
      <c r="FF59" s="17"/>
      <c r="FG59" s="17"/>
      <c r="FH59" s="17"/>
      <c r="FI59" s="17"/>
      <c r="FJ59" s="31"/>
      <c r="FL59" s="54"/>
      <c r="FM59" s="54"/>
      <c r="FN59" s="54"/>
      <c r="FO59" s="54"/>
      <c r="FP59" s="54"/>
      <c r="FQ59" s="54"/>
      <c r="FR59" s="54"/>
      <c r="FS59" s="54"/>
      <c r="FT59" s="54"/>
      <c r="FU59" s="54"/>
      <c r="FV59" s="54"/>
      <c r="FW59" s="54"/>
      <c r="FX59" s="54"/>
      <c r="FY59" s="54"/>
      <c r="FZ59" s="54"/>
      <c r="GA59" s="54"/>
      <c r="GB59" s="54"/>
      <c r="GC59" s="54"/>
      <c r="GD59" s="54"/>
      <c r="GE59" s="54"/>
      <c r="GF59" s="54"/>
      <c r="GG59" s="54"/>
      <c r="GH59" s="54"/>
      <c r="GI59" s="54"/>
      <c r="GJ59" s="54"/>
      <c r="GK59" s="54"/>
      <c r="GL59" s="54"/>
      <c r="GM59" s="54"/>
      <c r="GN59" s="54"/>
      <c r="GO59" s="54"/>
      <c r="GP59" s="54"/>
      <c r="GQ59" s="54"/>
      <c r="GR59" s="54"/>
      <c r="GS59" s="54"/>
      <c r="GT59" s="54"/>
      <c r="GU59" s="54"/>
      <c r="GV59" s="54"/>
      <c r="GW59" s="54"/>
      <c r="GX59" s="54"/>
      <c r="GY59" s="54"/>
      <c r="GZ59" s="54"/>
      <c r="HA59" s="54"/>
      <c r="HB59" s="54"/>
      <c r="HC59" s="54"/>
      <c r="HD59" s="54"/>
    </row>
    <row r="60" spans="1:212" s="5" customFormat="1" ht="13.5" customHeight="1" thickBot="1">
      <c r="A60" s="11"/>
      <c r="B60" s="83"/>
      <c r="C60" s="84"/>
      <c r="D60" s="37"/>
      <c r="E60" s="38"/>
      <c r="F60" s="38"/>
      <c r="G60" s="60"/>
      <c r="H60" s="86"/>
      <c r="I60" s="87"/>
      <c r="J60" s="32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  <c r="CC60" s="33"/>
      <c r="CD60" s="33"/>
      <c r="CE60" s="33"/>
      <c r="CF60" s="33"/>
      <c r="CG60" s="33"/>
      <c r="CH60" s="33"/>
      <c r="CI60" s="33"/>
      <c r="CJ60" s="33"/>
      <c r="CK60" s="33"/>
      <c r="CL60" s="33"/>
      <c r="CM60" s="33"/>
      <c r="CN60" s="33"/>
      <c r="CO60" s="33"/>
      <c r="CP60" s="33"/>
      <c r="CQ60" s="33"/>
      <c r="CR60" s="33"/>
      <c r="CS60" s="33"/>
      <c r="CT60" s="33"/>
      <c r="CU60" s="33"/>
      <c r="CV60" s="33"/>
      <c r="CW60" s="33"/>
      <c r="CX60" s="33"/>
      <c r="CY60" s="33"/>
      <c r="CZ60" s="33"/>
      <c r="DA60" s="33"/>
      <c r="DB60" s="33"/>
      <c r="DC60" s="33"/>
      <c r="DD60" s="33"/>
      <c r="DE60" s="33"/>
      <c r="DF60" s="33"/>
      <c r="DG60" s="33"/>
      <c r="DH60" s="33"/>
      <c r="DI60" s="33"/>
      <c r="DJ60" s="33"/>
      <c r="DK60" s="33"/>
      <c r="DL60" s="33"/>
      <c r="DM60" s="33"/>
      <c r="DN60" s="33"/>
      <c r="DO60" s="33"/>
      <c r="DP60" s="33"/>
      <c r="DQ60" s="33"/>
      <c r="DR60" s="33"/>
      <c r="DS60" s="33"/>
      <c r="DT60" s="33"/>
      <c r="DU60" s="33"/>
      <c r="DV60" s="33"/>
      <c r="DW60" s="33"/>
      <c r="DX60" s="33"/>
      <c r="DY60" s="33"/>
      <c r="DZ60" s="33"/>
      <c r="EA60" s="33"/>
      <c r="EB60" s="33"/>
      <c r="EC60" s="33"/>
      <c r="ED60" s="33"/>
      <c r="EE60" s="33"/>
      <c r="EF60" s="33"/>
      <c r="EG60" s="33"/>
      <c r="EH60" s="33"/>
      <c r="EI60" s="33"/>
      <c r="EJ60" s="33"/>
      <c r="EK60" s="33"/>
      <c r="EL60" s="33"/>
      <c r="EM60" s="33"/>
      <c r="EN60" s="33"/>
      <c r="EO60" s="33"/>
      <c r="EP60" s="33"/>
      <c r="EQ60" s="33"/>
      <c r="ER60" s="33"/>
      <c r="ES60" s="33"/>
      <c r="ET60" s="33"/>
      <c r="EU60" s="33"/>
      <c r="EV60" s="33"/>
      <c r="EW60" s="33"/>
      <c r="EX60" s="33"/>
      <c r="EY60" s="33"/>
      <c r="EZ60" s="33"/>
      <c r="FA60" s="33"/>
      <c r="FB60" s="33"/>
      <c r="FC60" s="33"/>
      <c r="FD60" s="33"/>
      <c r="FE60" s="33"/>
      <c r="FF60" s="33"/>
      <c r="FG60" s="33"/>
      <c r="FH60" s="33"/>
      <c r="FI60" s="33"/>
      <c r="FJ60" s="34"/>
      <c r="FL60" s="54"/>
      <c r="FM60" s="54"/>
      <c r="FN60" s="54"/>
      <c r="FO60" s="54"/>
      <c r="FP60" s="54"/>
      <c r="FQ60" s="54"/>
      <c r="FR60" s="54"/>
      <c r="FS60" s="54"/>
      <c r="FT60" s="54"/>
      <c r="FU60" s="54"/>
      <c r="FV60" s="54"/>
      <c r="FW60" s="54"/>
      <c r="FX60" s="54"/>
      <c r="FY60" s="54"/>
      <c r="FZ60" s="54"/>
      <c r="GA60" s="54"/>
      <c r="GB60" s="54"/>
      <c r="GC60" s="54"/>
      <c r="GD60" s="54"/>
      <c r="GE60" s="54"/>
      <c r="GF60" s="54"/>
      <c r="GG60" s="54"/>
      <c r="GH60" s="54"/>
      <c r="GI60" s="54"/>
      <c r="GJ60" s="54"/>
      <c r="GK60" s="54"/>
      <c r="GL60" s="54"/>
      <c r="GM60" s="54"/>
      <c r="GN60" s="54"/>
      <c r="GO60" s="54"/>
      <c r="GP60" s="54"/>
      <c r="GQ60" s="54"/>
      <c r="GR60" s="54"/>
      <c r="GS60" s="54"/>
      <c r="GT60" s="54"/>
      <c r="GU60" s="54"/>
      <c r="GV60" s="54"/>
      <c r="GW60" s="54"/>
      <c r="GX60" s="54"/>
      <c r="GY60" s="54"/>
      <c r="GZ60" s="54"/>
      <c r="HA60" s="54"/>
      <c r="HB60" s="54"/>
      <c r="HC60" s="54"/>
      <c r="HD60" s="54"/>
    </row>
    <row r="61" spans="1:212" s="5" customFormat="1" ht="5.25" customHeight="1">
      <c r="A61" s="11"/>
      <c r="B61" s="80"/>
      <c r="C61" s="80"/>
      <c r="D61" s="8"/>
      <c r="E61" s="9"/>
      <c r="F61" s="9"/>
      <c r="G61" s="61"/>
      <c r="H61" s="9"/>
      <c r="I61" s="6"/>
      <c r="J61" s="30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17"/>
      <c r="CC61" s="17"/>
      <c r="CD61" s="17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17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17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17"/>
      <c r="EQ61" s="17"/>
      <c r="ER61" s="17"/>
      <c r="ES61" s="17"/>
      <c r="ET61" s="17"/>
      <c r="EU61" s="17"/>
      <c r="EV61" s="17"/>
      <c r="EW61" s="17"/>
      <c r="EX61" s="17"/>
      <c r="EY61" s="17"/>
      <c r="EZ61" s="17"/>
      <c r="FA61" s="17"/>
      <c r="FB61" s="17"/>
      <c r="FC61" s="17"/>
      <c r="FD61" s="17"/>
      <c r="FE61" s="17"/>
      <c r="FF61" s="17"/>
      <c r="FG61" s="17"/>
      <c r="FH61" s="17"/>
      <c r="FI61" s="17"/>
      <c r="FJ61" s="31"/>
      <c r="FL61" s="54"/>
      <c r="FM61" s="54"/>
      <c r="FN61" s="54"/>
      <c r="FO61" s="54"/>
      <c r="FP61" s="54"/>
      <c r="FQ61" s="54"/>
      <c r="FR61" s="54"/>
      <c r="FS61" s="54"/>
      <c r="FT61" s="54"/>
      <c r="FU61" s="54"/>
      <c r="FV61" s="54"/>
      <c r="FW61" s="54"/>
      <c r="FX61" s="54"/>
      <c r="FY61" s="54"/>
      <c r="FZ61" s="54"/>
      <c r="GA61" s="54"/>
      <c r="GB61" s="54"/>
      <c r="GC61" s="54"/>
      <c r="GD61" s="54"/>
      <c r="GE61" s="54"/>
      <c r="GF61" s="54"/>
      <c r="GG61" s="54"/>
      <c r="GH61" s="54"/>
      <c r="GI61" s="54"/>
      <c r="GJ61" s="54"/>
      <c r="GK61" s="54"/>
      <c r="GL61" s="54"/>
      <c r="GM61" s="54"/>
      <c r="GN61" s="54"/>
      <c r="GO61" s="54"/>
      <c r="GP61" s="54"/>
      <c r="GQ61" s="54"/>
      <c r="GR61" s="54"/>
      <c r="GS61" s="54"/>
      <c r="GT61" s="54"/>
      <c r="GU61" s="54"/>
      <c r="GV61" s="54"/>
      <c r="GW61" s="54"/>
      <c r="GX61" s="54"/>
      <c r="GY61" s="54"/>
      <c r="GZ61" s="54"/>
      <c r="HA61" s="54"/>
      <c r="HB61" s="54"/>
      <c r="HC61" s="54"/>
      <c r="HD61" s="54"/>
    </row>
    <row r="62" spans="1:212" s="5" customFormat="1" ht="5.25" customHeight="1">
      <c r="A62" s="11"/>
      <c r="B62" s="80"/>
      <c r="C62" s="80"/>
      <c r="D62" s="8"/>
      <c r="E62" s="9"/>
      <c r="F62" s="9"/>
      <c r="G62" s="61"/>
      <c r="H62" s="9"/>
      <c r="I62" s="6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L62" s="54"/>
      <c r="FM62" s="54"/>
      <c r="FN62" s="54"/>
      <c r="FO62" s="54"/>
      <c r="FP62" s="54"/>
      <c r="FQ62" s="54"/>
      <c r="FR62" s="54"/>
      <c r="FS62" s="54"/>
      <c r="FT62" s="54"/>
      <c r="FU62" s="54"/>
      <c r="FV62" s="54"/>
      <c r="FW62" s="54"/>
      <c r="FX62" s="54"/>
      <c r="FY62" s="54"/>
      <c r="FZ62" s="54"/>
      <c r="GA62" s="54"/>
      <c r="GB62" s="54"/>
      <c r="GC62" s="54"/>
      <c r="GD62" s="54"/>
      <c r="GE62" s="54"/>
      <c r="GF62" s="54"/>
      <c r="GG62" s="54"/>
      <c r="GH62" s="54"/>
      <c r="GI62" s="54"/>
      <c r="GJ62" s="54"/>
      <c r="GK62" s="54"/>
      <c r="GL62" s="54"/>
      <c r="GM62" s="54"/>
      <c r="GN62" s="54"/>
      <c r="GO62" s="54"/>
      <c r="GP62" s="54"/>
      <c r="GQ62" s="54"/>
      <c r="GR62" s="54"/>
      <c r="GS62" s="54"/>
      <c r="GT62" s="54"/>
      <c r="GU62" s="54"/>
      <c r="GV62" s="54"/>
      <c r="GW62" s="54"/>
      <c r="GX62" s="54"/>
      <c r="GY62" s="54"/>
      <c r="GZ62" s="54"/>
      <c r="HA62" s="54"/>
      <c r="HB62" s="54"/>
      <c r="HC62" s="54"/>
      <c r="HD62" s="54"/>
    </row>
    <row r="63" spans="1:212" s="1" customFormat="1" ht="46.5" customHeight="1">
      <c r="B63" s="40" t="s">
        <v>48</v>
      </c>
      <c r="C63" s="41">
        <f ca="1">TODAY()</f>
        <v>44949</v>
      </c>
      <c r="D63" s="2"/>
      <c r="E63" s="2"/>
      <c r="F63" s="2"/>
      <c r="G63" s="62"/>
      <c r="H63" s="2"/>
      <c r="I63" s="2"/>
      <c r="J63" s="2"/>
      <c r="K63" s="2"/>
      <c r="L63" s="2"/>
      <c r="M63" s="2"/>
      <c r="N63" s="2"/>
      <c r="O63" s="2"/>
      <c r="Q63" s="2"/>
      <c r="R63" s="2"/>
      <c r="S63" s="2"/>
      <c r="T63" s="2"/>
      <c r="U63" s="3"/>
      <c r="V63" s="2"/>
      <c r="W63" s="2"/>
      <c r="X63" s="2"/>
      <c r="Y63" s="2"/>
      <c r="Z63" s="2"/>
      <c r="AA63" s="3"/>
      <c r="AB63" s="2"/>
      <c r="CF63" s="3" t="s">
        <v>49</v>
      </c>
      <c r="DQ63" s="3" t="s">
        <v>50</v>
      </c>
      <c r="FL63" s="55"/>
      <c r="FM63" s="55"/>
      <c r="FN63" s="55"/>
      <c r="FO63" s="55"/>
      <c r="FP63" s="55"/>
      <c r="FQ63" s="55"/>
      <c r="FR63" s="55"/>
      <c r="FS63" s="55"/>
      <c r="FT63" s="55"/>
      <c r="FU63" s="55"/>
      <c r="FV63" s="55"/>
      <c r="FW63" s="55"/>
      <c r="FX63" s="55"/>
      <c r="FY63" s="55"/>
      <c r="FZ63" s="55"/>
      <c r="GA63" s="55"/>
      <c r="GB63" s="55"/>
      <c r="GC63" s="55"/>
      <c r="GD63" s="55"/>
      <c r="GE63" s="55"/>
      <c r="GF63" s="55"/>
      <c r="GG63" s="55"/>
      <c r="GH63" s="55"/>
      <c r="GI63" s="55"/>
      <c r="GJ63" s="55"/>
      <c r="GK63" s="55"/>
      <c r="GL63" s="55"/>
      <c r="GM63" s="55"/>
      <c r="GN63" s="55"/>
      <c r="GO63" s="55"/>
      <c r="GP63" s="55"/>
      <c r="GQ63" s="55"/>
      <c r="GR63" s="55"/>
      <c r="GS63" s="55"/>
      <c r="GT63" s="55"/>
      <c r="GU63" s="55"/>
      <c r="GV63" s="55"/>
      <c r="GW63" s="55"/>
      <c r="GX63" s="55"/>
      <c r="GY63" s="55"/>
      <c r="GZ63" s="55"/>
      <c r="HA63" s="55"/>
      <c r="HB63" s="55"/>
      <c r="HC63" s="55"/>
      <c r="HD63" s="55"/>
    </row>
    <row r="64" spans="1:212" s="46" customFormat="1">
      <c r="A64" s="42"/>
      <c r="B64" s="43"/>
      <c r="C64" s="43"/>
      <c r="D64" s="44"/>
      <c r="E64" s="45"/>
      <c r="F64" s="45"/>
      <c r="G64" s="63"/>
      <c r="H64" s="45"/>
      <c r="DK64" s="47"/>
      <c r="FL64" s="48"/>
      <c r="FM64" s="48"/>
      <c r="FN64" s="48"/>
      <c r="FO64" s="48"/>
      <c r="FP64" s="48"/>
      <c r="FQ64" s="48"/>
      <c r="FR64" s="48"/>
      <c r="FS64" s="48"/>
      <c r="FT64" s="48"/>
      <c r="FU64" s="48"/>
      <c r="FV64" s="48"/>
      <c r="FW64" s="48"/>
      <c r="FX64" s="48"/>
      <c r="FY64" s="48"/>
      <c r="FZ64" s="48"/>
      <c r="GA64" s="48"/>
      <c r="GB64" s="48"/>
      <c r="GC64" s="48"/>
      <c r="GD64" s="48"/>
      <c r="GE64" s="48"/>
      <c r="GF64" s="48"/>
      <c r="GG64" s="48"/>
      <c r="GH64" s="48"/>
      <c r="GI64" s="48"/>
      <c r="GJ64" s="48"/>
      <c r="GK64" s="48"/>
      <c r="GL64" s="48"/>
      <c r="GM64" s="48"/>
      <c r="GN64" s="48"/>
      <c r="GO64" s="48"/>
      <c r="GP64" s="48"/>
      <c r="GQ64" s="48"/>
      <c r="GR64" s="48"/>
      <c r="GS64" s="48"/>
      <c r="GT64" s="48"/>
      <c r="GU64" s="48"/>
      <c r="GV64" s="48"/>
      <c r="GW64" s="48"/>
      <c r="GX64" s="48"/>
      <c r="GY64" s="48"/>
      <c r="GZ64" s="48"/>
      <c r="HA64" s="48"/>
      <c r="HB64" s="48"/>
      <c r="HC64" s="48"/>
      <c r="HD64" s="48"/>
    </row>
    <row r="65" spans="1:212" s="46" customFormat="1">
      <c r="A65" s="42"/>
      <c r="D65" s="44"/>
      <c r="E65" s="45"/>
      <c r="F65" s="45"/>
      <c r="G65" s="63"/>
      <c r="H65" s="45"/>
      <c r="DK65" s="47"/>
      <c r="FL65" s="48"/>
      <c r="FM65" s="48"/>
      <c r="FN65" s="48"/>
      <c r="FO65" s="48"/>
      <c r="FP65" s="48"/>
      <c r="FQ65" s="48"/>
      <c r="FR65" s="48"/>
      <c r="FS65" s="48"/>
      <c r="FT65" s="48"/>
      <c r="FU65" s="48"/>
      <c r="FV65" s="48"/>
      <c r="FW65" s="48"/>
      <c r="FX65" s="48"/>
      <c r="FY65" s="48"/>
      <c r="FZ65" s="48"/>
      <c r="GA65" s="48"/>
      <c r="GB65" s="48"/>
      <c r="GC65" s="48"/>
      <c r="GD65" s="48"/>
      <c r="GE65" s="48"/>
      <c r="GF65" s="48"/>
      <c r="GG65" s="48"/>
      <c r="GH65" s="48"/>
      <c r="GI65" s="48"/>
      <c r="GJ65" s="48"/>
      <c r="GK65" s="48"/>
      <c r="GL65" s="48"/>
      <c r="GM65" s="48"/>
      <c r="GN65" s="48"/>
      <c r="GO65" s="48"/>
      <c r="GP65" s="48"/>
      <c r="GQ65" s="48"/>
      <c r="GR65" s="48"/>
      <c r="GS65" s="48"/>
      <c r="GT65" s="48"/>
      <c r="GU65" s="48"/>
      <c r="GV65" s="48"/>
      <c r="GW65" s="48"/>
      <c r="GX65" s="48"/>
      <c r="GY65" s="48"/>
      <c r="GZ65" s="48"/>
      <c r="HA65" s="48"/>
      <c r="HB65" s="48"/>
      <c r="HC65" s="48"/>
      <c r="HD65" s="48"/>
    </row>
    <row r="66" spans="1:212" s="46" customFormat="1">
      <c r="A66" s="42"/>
      <c r="D66" s="44"/>
      <c r="E66" s="45"/>
      <c r="F66" s="45"/>
      <c r="G66" s="63"/>
      <c r="H66" s="45"/>
      <c r="DK66" s="47"/>
      <c r="FL66" s="48"/>
      <c r="FM66" s="48"/>
      <c r="FN66" s="48"/>
      <c r="FO66" s="48"/>
      <c r="FP66" s="48"/>
      <c r="FQ66" s="48"/>
      <c r="FR66" s="48"/>
      <c r="FS66" s="48"/>
      <c r="FT66" s="48"/>
      <c r="FU66" s="48"/>
      <c r="FV66" s="48"/>
      <c r="FW66" s="48"/>
      <c r="FX66" s="48"/>
      <c r="FY66" s="48"/>
      <c r="FZ66" s="48"/>
      <c r="GA66" s="48"/>
      <c r="GB66" s="48"/>
      <c r="GC66" s="48"/>
      <c r="GD66" s="48"/>
      <c r="GE66" s="48"/>
      <c r="GF66" s="48"/>
      <c r="GG66" s="48"/>
      <c r="GH66" s="48"/>
      <c r="GI66" s="48"/>
      <c r="GJ66" s="48"/>
      <c r="GK66" s="48"/>
      <c r="GL66" s="48"/>
      <c r="GM66" s="48"/>
      <c r="GN66" s="48"/>
      <c r="GO66" s="48"/>
      <c r="GP66" s="48"/>
      <c r="GQ66" s="48"/>
      <c r="GR66" s="48"/>
      <c r="GS66" s="48"/>
      <c r="GT66" s="48"/>
      <c r="GU66" s="48"/>
      <c r="GV66" s="48"/>
      <c r="GW66" s="48"/>
      <c r="GX66" s="48"/>
      <c r="GY66" s="48"/>
      <c r="GZ66" s="48"/>
      <c r="HA66" s="48"/>
      <c r="HB66" s="48"/>
      <c r="HC66" s="48"/>
      <c r="HD66" s="48"/>
    </row>
    <row r="67" spans="1:212" s="46" customFormat="1">
      <c r="A67" s="42"/>
      <c r="D67" s="44"/>
      <c r="E67" s="45"/>
      <c r="F67" s="45"/>
      <c r="G67" s="63"/>
      <c r="H67" s="45"/>
      <c r="DK67" s="47"/>
      <c r="FL67" s="48"/>
      <c r="FM67" s="48"/>
      <c r="FN67" s="48"/>
      <c r="FO67" s="48"/>
      <c r="FP67" s="48"/>
      <c r="FQ67" s="48"/>
      <c r="FR67" s="48"/>
      <c r="FS67" s="48"/>
      <c r="FT67" s="48"/>
      <c r="FU67" s="48"/>
      <c r="FV67" s="48"/>
      <c r="FW67" s="48"/>
      <c r="FX67" s="48"/>
      <c r="FY67" s="48"/>
      <c r="FZ67" s="48"/>
      <c r="GA67" s="48"/>
      <c r="GB67" s="48"/>
      <c r="GC67" s="48"/>
      <c r="GD67" s="48"/>
      <c r="GE67" s="48"/>
      <c r="GF67" s="48"/>
      <c r="GG67" s="48"/>
      <c r="GH67" s="48"/>
      <c r="GI67" s="48"/>
      <c r="GJ67" s="48"/>
      <c r="GK67" s="48"/>
      <c r="GL67" s="48"/>
      <c r="GM67" s="48"/>
      <c r="GN67" s="48"/>
      <c r="GO67" s="48"/>
      <c r="GP67" s="48"/>
      <c r="GQ67" s="48"/>
      <c r="GR67" s="48"/>
      <c r="GS67" s="48"/>
      <c r="GT67" s="48"/>
      <c r="GU67" s="48"/>
      <c r="GV67" s="48"/>
      <c r="GW67" s="48"/>
      <c r="GX67" s="48"/>
      <c r="GY67" s="48"/>
      <c r="GZ67" s="48"/>
      <c r="HA67" s="48"/>
      <c r="HB67" s="48"/>
      <c r="HC67" s="48"/>
      <c r="HD67" s="48"/>
    </row>
    <row r="68" spans="1:212" s="46" customFormat="1">
      <c r="A68" s="42"/>
      <c r="D68" s="44"/>
      <c r="E68" s="76">
        <v>44559</v>
      </c>
      <c r="F68" s="45"/>
      <c r="G68" s="63"/>
      <c r="H68" s="45"/>
      <c r="DK68" s="47"/>
      <c r="FL68" s="48"/>
      <c r="FM68" s="48"/>
      <c r="FN68" s="48"/>
      <c r="FO68" s="48"/>
      <c r="FP68" s="48"/>
      <c r="FQ68" s="48"/>
      <c r="FR68" s="48"/>
      <c r="FS68" s="48"/>
      <c r="FT68" s="48"/>
      <c r="FU68" s="48"/>
      <c r="FV68" s="48"/>
      <c r="FW68" s="48"/>
      <c r="FX68" s="48"/>
      <c r="FY68" s="48"/>
      <c r="FZ68" s="48"/>
      <c r="GA68" s="48"/>
      <c r="GB68" s="48"/>
      <c r="GC68" s="48"/>
      <c r="GD68" s="48"/>
      <c r="GE68" s="48"/>
      <c r="GF68" s="48"/>
      <c r="GG68" s="48"/>
      <c r="GH68" s="48"/>
      <c r="GI68" s="48"/>
      <c r="GJ68" s="48"/>
      <c r="GK68" s="48"/>
      <c r="GL68" s="48"/>
      <c r="GM68" s="48"/>
      <c r="GN68" s="48"/>
      <c r="GO68" s="48"/>
      <c r="GP68" s="48"/>
      <c r="GQ68" s="48"/>
      <c r="GR68" s="48"/>
      <c r="GS68" s="48"/>
      <c r="GT68" s="48"/>
      <c r="GU68" s="48"/>
      <c r="GV68" s="48"/>
      <c r="GW68" s="48"/>
      <c r="GX68" s="48"/>
      <c r="GY68" s="48"/>
      <c r="GZ68" s="48"/>
      <c r="HA68" s="48"/>
      <c r="HB68" s="48"/>
      <c r="HC68" s="48"/>
      <c r="HD68" s="48"/>
    </row>
    <row r="69" spans="1:212" s="46" customFormat="1">
      <c r="A69" s="42"/>
      <c r="D69" s="44"/>
      <c r="E69" s="76">
        <v>44566</v>
      </c>
      <c r="F69" s="45"/>
      <c r="G69" s="63"/>
      <c r="H69" s="45"/>
      <c r="DK69" s="47"/>
      <c r="FL69" s="48"/>
      <c r="FM69" s="48"/>
      <c r="FN69" s="48"/>
      <c r="FO69" s="48"/>
      <c r="FP69" s="48"/>
      <c r="FQ69" s="48"/>
      <c r="FR69" s="48"/>
      <c r="FS69" s="48"/>
      <c r="FT69" s="48"/>
      <c r="FU69" s="48"/>
      <c r="FV69" s="48"/>
      <c r="FW69" s="48"/>
      <c r="FX69" s="48"/>
      <c r="FY69" s="48"/>
      <c r="FZ69" s="48"/>
      <c r="GA69" s="48"/>
      <c r="GB69" s="48"/>
      <c r="GC69" s="48"/>
      <c r="GD69" s="48"/>
      <c r="GE69" s="48"/>
      <c r="GF69" s="48"/>
      <c r="GG69" s="48"/>
      <c r="GH69" s="48"/>
      <c r="GI69" s="48"/>
      <c r="GJ69" s="48"/>
      <c r="GK69" s="48"/>
      <c r="GL69" s="48"/>
      <c r="GM69" s="48"/>
      <c r="GN69" s="48"/>
      <c r="GO69" s="48"/>
      <c r="GP69" s="48"/>
      <c r="GQ69" s="48"/>
      <c r="GR69" s="48"/>
      <c r="GS69" s="48"/>
      <c r="GT69" s="48"/>
      <c r="GU69" s="48"/>
      <c r="GV69" s="48"/>
      <c r="GW69" s="48"/>
      <c r="GX69" s="48"/>
      <c r="GY69" s="48"/>
      <c r="GZ69" s="48"/>
      <c r="HA69" s="48"/>
      <c r="HB69" s="48"/>
      <c r="HC69" s="48"/>
      <c r="HD69" s="48"/>
    </row>
    <row r="70" spans="1:212" s="46" customFormat="1">
      <c r="A70" s="42"/>
      <c r="D70" s="44"/>
      <c r="E70" s="77">
        <f>E69-E68</f>
        <v>7</v>
      </c>
      <c r="F70" s="45"/>
      <c r="G70" s="63"/>
      <c r="H70" s="45"/>
      <c r="DK70" s="47"/>
      <c r="FL70" s="48"/>
      <c r="FM70" s="48"/>
      <c r="FN70" s="48"/>
      <c r="FO70" s="48"/>
      <c r="FP70" s="48"/>
      <c r="FQ70" s="48"/>
      <c r="FR70" s="48"/>
      <c r="FS70" s="48"/>
      <c r="FT70" s="48"/>
      <c r="FU70" s="48"/>
      <c r="FV70" s="48"/>
      <c r="FW70" s="48"/>
      <c r="FX70" s="48"/>
      <c r="FY70" s="48"/>
      <c r="FZ70" s="48"/>
      <c r="GA70" s="48"/>
      <c r="GB70" s="48"/>
      <c r="GC70" s="48"/>
      <c r="GD70" s="48"/>
      <c r="GE70" s="48"/>
      <c r="GF70" s="48"/>
      <c r="GG70" s="48"/>
      <c r="GH70" s="48"/>
      <c r="GI70" s="48"/>
      <c r="GJ70" s="48"/>
      <c r="GK70" s="48"/>
      <c r="GL70" s="48"/>
      <c r="GM70" s="48"/>
      <c r="GN70" s="48"/>
      <c r="GO70" s="48"/>
      <c r="GP70" s="48"/>
      <c r="GQ70" s="48"/>
      <c r="GR70" s="48"/>
      <c r="GS70" s="48"/>
      <c r="GT70" s="48"/>
      <c r="GU70" s="48"/>
      <c r="GV70" s="48"/>
      <c r="GW70" s="48"/>
      <c r="GX70" s="48"/>
      <c r="GY70" s="48"/>
      <c r="GZ70" s="48"/>
      <c r="HA70" s="48"/>
      <c r="HB70" s="48"/>
      <c r="HC70" s="48"/>
      <c r="HD70" s="48"/>
    </row>
    <row r="71" spans="1:212" s="46" customFormat="1">
      <c r="A71" s="42"/>
      <c r="D71" s="44"/>
      <c r="E71" s="45"/>
      <c r="F71" s="45"/>
      <c r="G71" s="63"/>
      <c r="H71" s="45"/>
      <c r="DK71" s="47"/>
      <c r="FL71" s="48"/>
      <c r="FM71" s="48"/>
      <c r="FN71" s="48"/>
      <c r="FO71" s="48"/>
      <c r="FP71" s="48"/>
      <c r="FQ71" s="48"/>
      <c r="FR71" s="48"/>
      <c r="FS71" s="48"/>
      <c r="FT71" s="48"/>
      <c r="FU71" s="48"/>
      <c r="FV71" s="48"/>
      <c r="FW71" s="48"/>
      <c r="FX71" s="48"/>
      <c r="FY71" s="48"/>
      <c r="FZ71" s="48"/>
      <c r="GA71" s="48"/>
      <c r="GB71" s="48"/>
      <c r="GC71" s="48"/>
      <c r="GD71" s="48"/>
      <c r="GE71" s="48"/>
      <c r="GF71" s="48"/>
      <c r="GG71" s="48"/>
      <c r="GH71" s="48"/>
      <c r="GI71" s="48"/>
      <c r="GJ71" s="48"/>
      <c r="GK71" s="48"/>
      <c r="GL71" s="48"/>
      <c r="GM71" s="48"/>
      <c r="GN71" s="48"/>
      <c r="GO71" s="48"/>
      <c r="GP71" s="48"/>
      <c r="GQ71" s="48"/>
      <c r="GR71" s="48"/>
      <c r="GS71" s="48"/>
      <c r="GT71" s="48"/>
      <c r="GU71" s="48"/>
      <c r="GV71" s="48"/>
      <c r="GW71" s="48"/>
      <c r="GX71" s="48"/>
      <c r="GY71" s="48"/>
      <c r="GZ71" s="48"/>
      <c r="HA71" s="48"/>
      <c r="HB71" s="48"/>
      <c r="HC71" s="48"/>
      <c r="HD71" s="48"/>
    </row>
    <row r="72" spans="1:212" s="46" customFormat="1">
      <c r="A72" s="42"/>
      <c r="D72" s="44"/>
      <c r="E72" s="45"/>
      <c r="F72" s="45"/>
      <c r="G72" s="63"/>
      <c r="H72" s="45"/>
      <c r="DK72" s="47"/>
      <c r="FL72" s="48"/>
      <c r="FM72" s="48"/>
      <c r="FN72" s="48"/>
      <c r="FO72" s="48"/>
      <c r="FP72" s="48"/>
      <c r="FQ72" s="48"/>
      <c r="FR72" s="48"/>
      <c r="FS72" s="48"/>
      <c r="FT72" s="48"/>
      <c r="FU72" s="48"/>
      <c r="FV72" s="48"/>
      <c r="FW72" s="48"/>
      <c r="FX72" s="48"/>
      <c r="FY72" s="48"/>
      <c r="FZ72" s="48"/>
      <c r="GA72" s="48"/>
      <c r="GB72" s="48"/>
      <c r="GC72" s="48"/>
      <c r="GD72" s="48"/>
      <c r="GE72" s="48"/>
      <c r="GF72" s="48"/>
      <c r="GG72" s="48"/>
      <c r="GH72" s="48"/>
      <c r="GI72" s="48"/>
      <c r="GJ72" s="48"/>
      <c r="GK72" s="48"/>
      <c r="GL72" s="48"/>
      <c r="GM72" s="48"/>
      <c r="GN72" s="48"/>
      <c r="GO72" s="48"/>
      <c r="GP72" s="48"/>
      <c r="GQ72" s="48"/>
      <c r="GR72" s="48"/>
      <c r="GS72" s="48"/>
      <c r="GT72" s="48"/>
      <c r="GU72" s="48"/>
      <c r="GV72" s="48"/>
      <c r="GW72" s="48"/>
      <c r="GX72" s="48"/>
      <c r="GY72" s="48"/>
      <c r="GZ72" s="48"/>
      <c r="HA72" s="48"/>
      <c r="HB72" s="48"/>
      <c r="HC72" s="48"/>
      <c r="HD72" s="48"/>
    </row>
    <row r="73" spans="1:212" s="46" customFormat="1">
      <c r="A73" s="42"/>
      <c r="D73" s="44"/>
      <c r="E73" s="45"/>
      <c r="F73" s="45"/>
      <c r="G73" s="63"/>
      <c r="H73" s="45"/>
      <c r="DK73" s="47"/>
      <c r="FL73" s="48"/>
      <c r="FM73" s="48"/>
      <c r="FN73" s="48"/>
      <c r="FO73" s="48"/>
      <c r="FP73" s="48"/>
      <c r="FQ73" s="48"/>
      <c r="FR73" s="48"/>
      <c r="FS73" s="48"/>
      <c r="FT73" s="48"/>
      <c r="FU73" s="48"/>
      <c r="FV73" s="48"/>
      <c r="FW73" s="48"/>
      <c r="FX73" s="48"/>
      <c r="FY73" s="48"/>
      <c r="FZ73" s="48"/>
      <c r="GA73" s="48"/>
      <c r="GB73" s="48"/>
      <c r="GC73" s="48"/>
      <c r="GD73" s="48"/>
      <c r="GE73" s="48"/>
      <c r="GF73" s="48"/>
      <c r="GG73" s="48"/>
      <c r="GH73" s="48"/>
      <c r="GI73" s="48"/>
      <c r="GJ73" s="48"/>
      <c r="GK73" s="48"/>
      <c r="GL73" s="48"/>
      <c r="GM73" s="48"/>
      <c r="GN73" s="48"/>
      <c r="GO73" s="48"/>
      <c r="GP73" s="48"/>
      <c r="GQ73" s="48"/>
      <c r="GR73" s="48"/>
      <c r="GS73" s="48"/>
      <c r="GT73" s="48"/>
      <c r="GU73" s="48"/>
      <c r="GV73" s="48"/>
      <c r="GW73" s="48"/>
      <c r="GX73" s="48"/>
      <c r="GY73" s="48"/>
      <c r="GZ73" s="48"/>
      <c r="HA73" s="48"/>
      <c r="HB73" s="48"/>
      <c r="HC73" s="48"/>
      <c r="HD73" s="48"/>
    </row>
    <row r="74" spans="1:212" s="46" customFormat="1">
      <c r="A74" s="42"/>
      <c r="D74" s="44"/>
      <c r="E74" s="45"/>
      <c r="F74" s="45"/>
      <c r="G74" s="63"/>
      <c r="H74" s="45"/>
      <c r="DK74" s="47"/>
      <c r="FL74" s="48"/>
      <c r="FM74" s="48"/>
      <c r="FN74" s="48"/>
      <c r="FO74" s="48"/>
      <c r="FP74" s="48"/>
      <c r="FQ74" s="48"/>
      <c r="FR74" s="48"/>
      <c r="FS74" s="48"/>
      <c r="FT74" s="48"/>
      <c r="FU74" s="48"/>
      <c r="FV74" s="48"/>
      <c r="FW74" s="48"/>
      <c r="FX74" s="48"/>
      <c r="FY74" s="48"/>
      <c r="FZ74" s="48"/>
      <c r="GA74" s="48"/>
      <c r="GB74" s="48"/>
      <c r="GC74" s="48"/>
      <c r="GD74" s="48"/>
      <c r="GE74" s="48"/>
      <c r="GF74" s="48"/>
      <c r="GG74" s="48"/>
      <c r="GH74" s="48"/>
      <c r="GI74" s="48"/>
      <c r="GJ74" s="48"/>
      <c r="GK74" s="48"/>
      <c r="GL74" s="48"/>
      <c r="GM74" s="48"/>
      <c r="GN74" s="48"/>
      <c r="GO74" s="48"/>
      <c r="GP74" s="48"/>
      <c r="GQ74" s="48"/>
      <c r="GR74" s="48"/>
      <c r="GS74" s="48"/>
      <c r="GT74" s="48"/>
      <c r="GU74" s="48"/>
      <c r="GV74" s="48"/>
      <c r="GW74" s="48"/>
      <c r="GX74" s="48"/>
      <c r="GY74" s="48"/>
      <c r="GZ74" s="48"/>
      <c r="HA74" s="48"/>
      <c r="HB74" s="48"/>
      <c r="HC74" s="48"/>
      <c r="HD74" s="48"/>
    </row>
    <row r="75" spans="1:212" s="46" customFormat="1">
      <c r="A75" s="42"/>
      <c r="D75" s="44"/>
      <c r="E75" s="45"/>
      <c r="F75" s="45"/>
      <c r="G75" s="63"/>
      <c r="H75" s="45"/>
      <c r="DK75" s="47"/>
      <c r="FL75" s="48"/>
      <c r="FM75" s="48"/>
      <c r="FN75" s="48"/>
      <c r="FO75" s="48"/>
      <c r="FP75" s="48"/>
      <c r="FQ75" s="48"/>
      <c r="FR75" s="48"/>
      <c r="FS75" s="48"/>
      <c r="FT75" s="48"/>
      <c r="FU75" s="48"/>
      <c r="FV75" s="48"/>
      <c r="FW75" s="48"/>
      <c r="FX75" s="48"/>
      <c r="FY75" s="48"/>
      <c r="FZ75" s="48"/>
      <c r="GA75" s="48"/>
      <c r="GB75" s="48"/>
      <c r="GC75" s="48"/>
      <c r="GD75" s="48"/>
      <c r="GE75" s="48"/>
      <c r="GF75" s="48"/>
      <c r="GG75" s="48"/>
      <c r="GH75" s="48"/>
      <c r="GI75" s="48"/>
      <c r="GJ75" s="48"/>
      <c r="GK75" s="48"/>
      <c r="GL75" s="48"/>
      <c r="GM75" s="48"/>
      <c r="GN75" s="48"/>
      <c r="GO75" s="48"/>
      <c r="GP75" s="48"/>
      <c r="GQ75" s="48"/>
      <c r="GR75" s="48"/>
      <c r="GS75" s="48"/>
      <c r="GT75" s="48"/>
      <c r="GU75" s="48"/>
      <c r="GV75" s="48"/>
      <c r="GW75" s="48"/>
      <c r="GX75" s="48"/>
      <c r="GY75" s="48"/>
      <c r="GZ75" s="48"/>
      <c r="HA75" s="48"/>
      <c r="HB75" s="48"/>
      <c r="HC75" s="48"/>
      <c r="HD75" s="48"/>
    </row>
    <row r="76" spans="1:212" s="46" customFormat="1">
      <c r="A76" s="42"/>
      <c r="D76" s="44"/>
      <c r="E76" s="45"/>
      <c r="F76" s="45"/>
      <c r="G76" s="63"/>
      <c r="H76" s="45"/>
      <c r="DK76" s="47"/>
      <c r="FL76" s="48"/>
      <c r="FM76" s="48"/>
      <c r="FN76" s="48"/>
      <c r="FO76" s="48"/>
      <c r="FP76" s="48"/>
      <c r="FQ76" s="48"/>
      <c r="FR76" s="48"/>
      <c r="FS76" s="48"/>
      <c r="FT76" s="48"/>
      <c r="FU76" s="48"/>
      <c r="FV76" s="48"/>
      <c r="FW76" s="48"/>
      <c r="FX76" s="48"/>
      <c r="FY76" s="48"/>
      <c r="FZ76" s="48"/>
      <c r="GA76" s="48"/>
      <c r="GB76" s="48"/>
      <c r="GC76" s="48"/>
      <c r="GD76" s="48"/>
      <c r="GE76" s="48"/>
      <c r="GF76" s="48"/>
      <c r="GG76" s="48"/>
      <c r="GH76" s="48"/>
      <c r="GI76" s="48"/>
      <c r="GJ76" s="48"/>
      <c r="GK76" s="48"/>
      <c r="GL76" s="48"/>
      <c r="GM76" s="48"/>
      <c r="GN76" s="48"/>
      <c r="GO76" s="48"/>
      <c r="GP76" s="48"/>
      <c r="GQ76" s="48"/>
      <c r="GR76" s="48"/>
      <c r="GS76" s="48"/>
      <c r="GT76" s="48"/>
      <c r="GU76" s="48"/>
      <c r="GV76" s="48"/>
      <c r="GW76" s="48"/>
      <c r="GX76" s="48"/>
      <c r="GY76" s="48"/>
      <c r="GZ76" s="48"/>
      <c r="HA76" s="48"/>
      <c r="HB76" s="48"/>
      <c r="HC76" s="48"/>
      <c r="HD76" s="48"/>
    </row>
    <row r="77" spans="1:212" s="46" customFormat="1">
      <c r="A77" s="42"/>
      <c r="D77" s="44"/>
      <c r="E77" s="45"/>
      <c r="F77" s="45"/>
      <c r="G77" s="63"/>
      <c r="H77" s="45"/>
      <c r="DK77" s="47"/>
      <c r="FL77" s="48"/>
      <c r="FM77" s="48"/>
      <c r="FN77" s="48"/>
      <c r="FO77" s="48"/>
      <c r="FP77" s="48"/>
      <c r="FQ77" s="48"/>
      <c r="FR77" s="48"/>
      <c r="FS77" s="48"/>
      <c r="FT77" s="48"/>
      <c r="FU77" s="48"/>
      <c r="FV77" s="48"/>
      <c r="FW77" s="48"/>
      <c r="FX77" s="48"/>
      <c r="FY77" s="48"/>
      <c r="FZ77" s="48"/>
      <c r="GA77" s="48"/>
      <c r="GB77" s="48"/>
      <c r="GC77" s="48"/>
      <c r="GD77" s="48"/>
      <c r="GE77" s="48"/>
      <c r="GF77" s="48"/>
      <c r="GG77" s="48"/>
      <c r="GH77" s="48"/>
      <c r="GI77" s="48"/>
      <c r="GJ77" s="48"/>
      <c r="GK77" s="48"/>
      <c r="GL77" s="48"/>
      <c r="GM77" s="48"/>
      <c r="GN77" s="48"/>
      <c r="GO77" s="48"/>
      <c r="GP77" s="48"/>
      <c r="GQ77" s="48"/>
      <c r="GR77" s="48"/>
      <c r="GS77" s="48"/>
      <c r="GT77" s="48"/>
      <c r="GU77" s="48"/>
      <c r="GV77" s="48"/>
      <c r="GW77" s="48"/>
      <c r="GX77" s="48"/>
      <c r="GY77" s="48"/>
      <c r="GZ77" s="48"/>
      <c r="HA77" s="48"/>
      <c r="HB77" s="48"/>
      <c r="HC77" s="48"/>
      <c r="HD77" s="48"/>
    </row>
    <row r="78" spans="1:212" s="46" customFormat="1">
      <c r="A78" s="42"/>
      <c r="D78" s="44"/>
      <c r="E78" s="45"/>
      <c r="F78" s="45"/>
      <c r="G78" s="63"/>
      <c r="H78" s="45"/>
      <c r="DK78" s="47"/>
      <c r="FL78" s="48"/>
      <c r="FM78" s="48"/>
      <c r="FN78" s="48"/>
      <c r="FO78" s="48"/>
      <c r="FP78" s="48"/>
      <c r="FQ78" s="48"/>
      <c r="FR78" s="48"/>
      <c r="FS78" s="48"/>
      <c r="FT78" s="48"/>
      <c r="FU78" s="48"/>
      <c r="FV78" s="48"/>
      <c r="FW78" s="48"/>
      <c r="FX78" s="48"/>
      <c r="FY78" s="48"/>
      <c r="FZ78" s="48"/>
      <c r="GA78" s="48"/>
      <c r="GB78" s="48"/>
      <c r="GC78" s="48"/>
      <c r="GD78" s="48"/>
      <c r="GE78" s="48"/>
      <c r="GF78" s="48"/>
      <c r="GG78" s="48"/>
      <c r="GH78" s="48"/>
      <c r="GI78" s="48"/>
      <c r="GJ78" s="48"/>
      <c r="GK78" s="48"/>
      <c r="GL78" s="48"/>
      <c r="GM78" s="48"/>
      <c r="GN78" s="48"/>
      <c r="GO78" s="48"/>
      <c r="GP78" s="48"/>
      <c r="GQ78" s="48"/>
      <c r="GR78" s="48"/>
      <c r="GS78" s="48"/>
      <c r="GT78" s="48"/>
      <c r="GU78" s="48"/>
      <c r="GV78" s="48"/>
      <c r="GW78" s="48"/>
      <c r="GX78" s="48"/>
      <c r="GY78" s="48"/>
      <c r="GZ78" s="48"/>
      <c r="HA78" s="48"/>
      <c r="HB78" s="48"/>
      <c r="HC78" s="48"/>
      <c r="HD78" s="48"/>
    </row>
    <row r="79" spans="1:212" s="46" customFormat="1">
      <c r="A79" s="42"/>
      <c r="D79" s="44"/>
      <c r="E79" s="45"/>
      <c r="F79" s="45"/>
      <c r="G79" s="63"/>
      <c r="H79" s="45"/>
      <c r="DK79" s="47"/>
      <c r="FL79" s="48"/>
      <c r="FM79" s="48"/>
      <c r="FN79" s="48"/>
      <c r="FO79" s="48"/>
      <c r="FP79" s="48"/>
      <c r="FQ79" s="48"/>
      <c r="FR79" s="48"/>
      <c r="FS79" s="48"/>
      <c r="FT79" s="48"/>
      <c r="FU79" s="48"/>
      <c r="FV79" s="48"/>
      <c r="FW79" s="48"/>
      <c r="FX79" s="48"/>
      <c r="FY79" s="48"/>
      <c r="FZ79" s="48"/>
      <c r="GA79" s="48"/>
      <c r="GB79" s="48"/>
      <c r="GC79" s="48"/>
      <c r="GD79" s="48"/>
      <c r="GE79" s="48"/>
      <c r="GF79" s="48"/>
      <c r="GG79" s="48"/>
      <c r="GH79" s="48"/>
      <c r="GI79" s="48"/>
      <c r="GJ79" s="48"/>
      <c r="GK79" s="48"/>
      <c r="GL79" s="48"/>
      <c r="GM79" s="48"/>
      <c r="GN79" s="48"/>
      <c r="GO79" s="48"/>
      <c r="GP79" s="48"/>
      <c r="GQ79" s="48"/>
      <c r="GR79" s="48"/>
      <c r="GS79" s="48"/>
      <c r="GT79" s="48"/>
      <c r="GU79" s="48"/>
      <c r="GV79" s="48"/>
      <c r="GW79" s="48"/>
      <c r="GX79" s="48"/>
      <c r="GY79" s="48"/>
      <c r="GZ79" s="48"/>
      <c r="HA79" s="48"/>
      <c r="HB79" s="48"/>
      <c r="HC79" s="48"/>
      <c r="HD79" s="48"/>
    </row>
    <row r="80" spans="1:212" s="46" customFormat="1">
      <c r="A80" s="42"/>
      <c r="D80" s="44"/>
      <c r="E80" s="45"/>
      <c r="F80" s="45"/>
      <c r="G80" s="63"/>
      <c r="H80" s="45"/>
      <c r="DK80" s="47"/>
      <c r="FL80" s="48"/>
      <c r="FM80" s="48"/>
      <c r="FN80" s="48"/>
      <c r="FO80" s="48"/>
      <c r="FP80" s="48"/>
      <c r="FQ80" s="48"/>
      <c r="FR80" s="48"/>
      <c r="FS80" s="48"/>
      <c r="FT80" s="48"/>
      <c r="FU80" s="48"/>
      <c r="FV80" s="48"/>
      <c r="FW80" s="48"/>
      <c r="FX80" s="48"/>
      <c r="FY80" s="48"/>
      <c r="FZ80" s="48"/>
      <c r="GA80" s="48"/>
      <c r="GB80" s="48"/>
      <c r="GC80" s="48"/>
      <c r="GD80" s="48"/>
      <c r="GE80" s="48"/>
      <c r="GF80" s="48"/>
      <c r="GG80" s="48"/>
      <c r="GH80" s="48"/>
      <c r="GI80" s="48"/>
      <c r="GJ80" s="48"/>
      <c r="GK80" s="48"/>
      <c r="GL80" s="48"/>
      <c r="GM80" s="48"/>
      <c r="GN80" s="48"/>
      <c r="GO80" s="48"/>
      <c r="GP80" s="48"/>
      <c r="GQ80" s="48"/>
      <c r="GR80" s="48"/>
      <c r="GS80" s="48"/>
      <c r="GT80" s="48"/>
      <c r="GU80" s="48"/>
      <c r="GV80" s="48"/>
      <c r="GW80" s="48"/>
      <c r="GX80" s="48"/>
      <c r="GY80" s="48"/>
      <c r="GZ80" s="48"/>
      <c r="HA80" s="48"/>
      <c r="HB80" s="48"/>
      <c r="HC80" s="48"/>
      <c r="HD80" s="48"/>
    </row>
    <row r="81" spans="1:212" s="46" customFormat="1">
      <c r="A81" s="42"/>
      <c r="D81" s="44"/>
      <c r="E81" s="45"/>
      <c r="F81" s="45"/>
      <c r="G81" s="63"/>
      <c r="H81" s="45"/>
      <c r="DK81" s="47"/>
      <c r="FL81" s="48"/>
      <c r="FM81" s="48"/>
      <c r="FN81" s="48"/>
      <c r="FO81" s="48"/>
      <c r="FP81" s="48"/>
      <c r="FQ81" s="48"/>
      <c r="FR81" s="48"/>
      <c r="FS81" s="48"/>
      <c r="FT81" s="48"/>
      <c r="FU81" s="48"/>
      <c r="FV81" s="48"/>
      <c r="FW81" s="48"/>
      <c r="FX81" s="48"/>
      <c r="FY81" s="48"/>
      <c r="FZ81" s="48"/>
      <c r="GA81" s="48"/>
      <c r="GB81" s="48"/>
      <c r="GC81" s="48"/>
      <c r="GD81" s="48"/>
      <c r="GE81" s="48"/>
      <c r="GF81" s="48"/>
      <c r="GG81" s="48"/>
      <c r="GH81" s="48"/>
      <c r="GI81" s="48"/>
      <c r="GJ81" s="48"/>
      <c r="GK81" s="48"/>
      <c r="GL81" s="48"/>
      <c r="GM81" s="48"/>
      <c r="GN81" s="48"/>
      <c r="GO81" s="48"/>
      <c r="GP81" s="48"/>
      <c r="GQ81" s="48"/>
      <c r="GR81" s="48"/>
      <c r="GS81" s="48"/>
      <c r="GT81" s="48"/>
      <c r="GU81" s="48"/>
      <c r="GV81" s="48"/>
      <c r="GW81" s="48"/>
      <c r="GX81" s="48"/>
      <c r="GY81" s="48"/>
      <c r="GZ81" s="48"/>
      <c r="HA81" s="48"/>
      <c r="HB81" s="48"/>
      <c r="HC81" s="48"/>
      <c r="HD81" s="48"/>
    </row>
    <row r="82" spans="1:212" s="46" customFormat="1">
      <c r="A82" s="42"/>
      <c r="D82" s="44"/>
      <c r="E82" s="45"/>
      <c r="F82" s="45"/>
      <c r="G82" s="63"/>
      <c r="H82" s="45"/>
      <c r="DK82" s="47"/>
      <c r="FL82" s="48"/>
      <c r="FM82" s="48"/>
      <c r="FN82" s="48"/>
      <c r="FO82" s="48"/>
      <c r="FP82" s="48"/>
      <c r="FQ82" s="48"/>
      <c r="FR82" s="48"/>
      <c r="FS82" s="48"/>
      <c r="FT82" s="48"/>
      <c r="FU82" s="48"/>
      <c r="FV82" s="48"/>
      <c r="FW82" s="48"/>
      <c r="FX82" s="48"/>
      <c r="FY82" s="48"/>
      <c r="FZ82" s="48"/>
      <c r="GA82" s="48"/>
      <c r="GB82" s="48"/>
      <c r="GC82" s="48"/>
      <c r="GD82" s="48"/>
      <c r="GE82" s="48"/>
      <c r="GF82" s="48"/>
      <c r="GG82" s="48"/>
      <c r="GH82" s="48"/>
      <c r="GI82" s="48"/>
      <c r="GJ82" s="48"/>
      <c r="GK82" s="48"/>
      <c r="GL82" s="48"/>
      <c r="GM82" s="48"/>
      <c r="GN82" s="48"/>
      <c r="GO82" s="48"/>
      <c r="GP82" s="48"/>
      <c r="GQ82" s="48"/>
      <c r="GR82" s="48"/>
      <c r="GS82" s="48"/>
      <c r="GT82" s="48"/>
      <c r="GU82" s="48"/>
      <c r="GV82" s="48"/>
      <c r="GW82" s="48"/>
      <c r="GX82" s="48"/>
      <c r="GY82" s="48"/>
      <c r="GZ82" s="48"/>
      <c r="HA82" s="48"/>
      <c r="HB82" s="48"/>
      <c r="HC82" s="48"/>
      <c r="HD82" s="48"/>
    </row>
    <row r="83" spans="1:212" s="46" customFormat="1">
      <c r="A83" s="42"/>
      <c r="D83" s="44"/>
      <c r="E83" s="45"/>
      <c r="F83" s="45"/>
      <c r="G83" s="63"/>
      <c r="H83" s="45"/>
      <c r="DK83" s="47"/>
      <c r="FL83" s="48"/>
      <c r="FM83" s="48"/>
      <c r="FN83" s="48"/>
      <c r="FO83" s="48"/>
      <c r="FP83" s="48"/>
      <c r="FQ83" s="48"/>
      <c r="FR83" s="48"/>
      <c r="FS83" s="48"/>
      <c r="FT83" s="48"/>
      <c r="FU83" s="48"/>
      <c r="FV83" s="48"/>
      <c r="FW83" s="48"/>
      <c r="FX83" s="48"/>
      <c r="FY83" s="48"/>
      <c r="FZ83" s="48"/>
      <c r="GA83" s="48"/>
      <c r="GB83" s="48"/>
      <c r="GC83" s="48"/>
      <c r="GD83" s="48"/>
      <c r="GE83" s="48"/>
      <c r="GF83" s="48"/>
      <c r="GG83" s="48"/>
      <c r="GH83" s="48"/>
      <c r="GI83" s="48"/>
      <c r="GJ83" s="48"/>
      <c r="GK83" s="48"/>
      <c r="GL83" s="48"/>
      <c r="GM83" s="48"/>
      <c r="GN83" s="48"/>
      <c r="GO83" s="48"/>
      <c r="GP83" s="48"/>
      <c r="GQ83" s="48"/>
      <c r="GR83" s="48"/>
      <c r="GS83" s="48"/>
      <c r="GT83" s="48"/>
      <c r="GU83" s="48"/>
      <c r="GV83" s="48"/>
      <c r="GW83" s="48"/>
      <c r="GX83" s="48"/>
      <c r="GY83" s="48"/>
      <c r="GZ83" s="48"/>
      <c r="HA83" s="48"/>
      <c r="HB83" s="48"/>
      <c r="HC83" s="48"/>
      <c r="HD83" s="48"/>
    </row>
    <row r="84" spans="1:212" s="46" customFormat="1">
      <c r="A84" s="42"/>
      <c r="D84" s="44"/>
      <c r="E84" s="45"/>
      <c r="F84" s="45"/>
      <c r="G84" s="63"/>
      <c r="H84" s="45"/>
      <c r="DK84" s="47"/>
      <c r="FL84" s="48"/>
      <c r="FM84" s="48"/>
      <c r="FN84" s="48"/>
      <c r="FO84" s="48"/>
      <c r="FP84" s="48"/>
      <c r="FQ84" s="48"/>
      <c r="FR84" s="48"/>
      <c r="FS84" s="48"/>
      <c r="FT84" s="48"/>
      <c r="FU84" s="48"/>
      <c r="FV84" s="48"/>
      <c r="FW84" s="48"/>
      <c r="FX84" s="48"/>
      <c r="FY84" s="48"/>
      <c r="FZ84" s="48"/>
      <c r="GA84" s="48"/>
      <c r="GB84" s="48"/>
      <c r="GC84" s="48"/>
      <c r="GD84" s="48"/>
      <c r="GE84" s="48"/>
      <c r="GF84" s="48"/>
      <c r="GG84" s="48"/>
      <c r="GH84" s="48"/>
      <c r="GI84" s="48"/>
      <c r="GJ84" s="48"/>
      <c r="GK84" s="48"/>
      <c r="GL84" s="48"/>
      <c r="GM84" s="48"/>
      <c r="GN84" s="48"/>
      <c r="GO84" s="48"/>
      <c r="GP84" s="48"/>
      <c r="GQ84" s="48"/>
      <c r="GR84" s="48"/>
      <c r="GS84" s="48"/>
      <c r="GT84" s="48"/>
      <c r="GU84" s="48"/>
      <c r="GV84" s="48"/>
      <c r="GW84" s="48"/>
      <c r="GX84" s="48"/>
      <c r="GY84" s="48"/>
      <c r="GZ84" s="48"/>
      <c r="HA84" s="48"/>
      <c r="HB84" s="48"/>
      <c r="HC84" s="48"/>
      <c r="HD84" s="48"/>
    </row>
    <row r="85" spans="1:212" s="46" customFormat="1">
      <c r="A85" s="42"/>
      <c r="D85" s="44"/>
      <c r="E85" s="45"/>
      <c r="F85" s="45"/>
      <c r="G85" s="63"/>
      <c r="H85" s="45"/>
      <c r="DK85" s="47"/>
      <c r="FL85" s="48"/>
      <c r="FM85" s="48"/>
      <c r="FN85" s="48"/>
      <c r="FO85" s="48"/>
      <c r="FP85" s="48"/>
      <c r="FQ85" s="48"/>
      <c r="FR85" s="48"/>
      <c r="FS85" s="48"/>
      <c r="FT85" s="48"/>
      <c r="FU85" s="48"/>
      <c r="FV85" s="48"/>
      <c r="FW85" s="48"/>
      <c r="FX85" s="48"/>
      <c r="FY85" s="48"/>
      <c r="FZ85" s="48"/>
      <c r="GA85" s="48"/>
      <c r="GB85" s="48"/>
      <c r="GC85" s="48"/>
      <c r="GD85" s="48"/>
      <c r="GE85" s="48"/>
      <c r="GF85" s="48"/>
      <c r="GG85" s="48"/>
      <c r="GH85" s="48"/>
      <c r="GI85" s="48"/>
      <c r="GJ85" s="48"/>
      <c r="GK85" s="48"/>
      <c r="GL85" s="48"/>
      <c r="GM85" s="48"/>
      <c r="GN85" s="48"/>
      <c r="GO85" s="48"/>
      <c r="GP85" s="48"/>
      <c r="GQ85" s="48"/>
      <c r="GR85" s="48"/>
      <c r="GS85" s="48"/>
      <c r="GT85" s="48"/>
      <c r="GU85" s="48"/>
      <c r="GV85" s="48"/>
      <c r="GW85" s="48"/>
      <c r="GX85" s="48"/>
      <c r="GY85" s="48"/>
      <c r="GZ85" s="48"/>
      <c r="HA85" s="48"/>
      <c r="HB85" s="48"/>
      <c r="HC85" s="48"/>
      <c r="HD85" s="48"/>
    </row>
    <row r="86" spans="1:212" s="46" customFormat="1">
      <c r="A86" s="42"/>
      <c r="D86" s="44"/>
      <c r="E86" s="45"/>
      <c r="F86" s="45"/>
      <c r="G86" s="63"/>
      <c r="H86" s="45"/>
      <c r="DK86" s="47"/>
      <c r="FL86" s="48"/>
      <c r="FM86" s="48"/>
      <c r="FN86" s="48"/>
      <c r="FO86" s="48"/>
      <c r="FP86" s="48"/>
      <c r="FQ86" s="48"/>
      <c r="FR86" s="48"/>
      <c r="FS86" s="48"/>
      <c r="FT86" s="48"/>
      <c r="FU86" s="48"/>
      <c r="FV86" s="48"/>
      <c r="FW86" s="48"/>
      <c r="FX86" s="48"/>
      <c r="FY86" s="48"/>
      <c r="FZ86" s="48"/>
      <c r="GA86" s="48"/>
      <c r="GB86" s="48"/>
      <c r="GC86" s="48"/>
      <c r="GD86" s="48"/>
      <c r="GE86" s="48"/>
      <c r="GF86" s="48"/>
      <c r="GG86" s="48"/>
      <c r="GH86" s="48"/>
      <c r="GI86" s="48"/>
      <c r="GJ86" s="48"/>
      <c r="GK86" s="48"/>
      <c r="GL86" s="48"/>
      <c r="GM86" s="48"/>
      <c r="GN86" s="48"/>
      <c r="GO86" s="48"/>
      <c r="GP86" s="48"/>
      <c r="GQ86" s="48"/>
      <c r="GR86" s="48"/>
      <c r="GS86" s="48"/>
      <c r="GT86" s="48"/>
      <c r="GU86" s="48"/>
      <c r="GV86" s="48"/>
      <c r="GW86" s="48"/>
      <c r="GX86" s="48"/>
      <c r="GY86" s="48"/>
      <c r="GZ86" s="48"/>
      <c r="HA86" s="48"/>
      <c r="HB86" s="48"/>
      <c r="HC86" s="48"/>
      <c r="HD86" s="48"/>
    </row>
    <row r="87" spans="1:212" s="46" customFormat="1">
      <c r="A87" s="42"/>
      <c r="D87" s="44"/>
      <c r="E87" s="45"/>
      <c r="F87" s="45"/>
      <c r="G87" s="63"/>
      <c r="H87" s="45"/>
      <c r="DK87" s="47"/>
      <c r="FL87" s="48"/>
      <c r="FM87" s="48"/>
      <c r="FN87" s="48"/>
      <c r="FO87" s="48"/>
      <c r="FP87" s="48"/>
      <c r="FQ87" s="48"/>
      <c r="FR87" s="48"/>
      <c r="FS87" s="48"/>
      <c r="FT87" s="48"/>
      <c r="FU87" s="48"/>
      <c r="FV87" s="48"/>
      <c r="FW87" s="48"/>
      <c r="FX87" s="48"/>
      <c r="FY87" s="48"/>
      <c r="FZ87" s="48"/>
      <c r="GA87" s="48"/>
      <c r="GB87" s="48"/>
      <c r="GC87" s="48"/>
      <c r="GD87" s="48"/>
      <c r="GE87" s="48"/>
      <c r="GF87" s="48"/>
      <c r="GG87" s="48"/>
      <c r="GH87" s="48"/>
      <c r="GI87" s="48"/>
      <c r="GJ87" s="48"/>
      <c r="GK87" s="48"/>
      <c r="GL87" s="48"/>
      <c r="GM87" s="48"/>
      <c r="GN87" s="48"/>
      <c r="GO87" s="48"/>
      <c r="GP87" s="48"/>
      <c r="GQ87" s="48"/>
      <c r="GR87" s="48"/>
      <c r="GS87" s="48"/>
      <c r="GT87" s="48"/>
      <c r="GU87" s="48"/>
      <c r="GV87" s="48"/>
      <c r="GW87" s="48"/>
      <c r="GX87" s="48"/>
      <c r="GY87" s="48"/>
      <c r="GZ87" s="48"/>
      <c r="HA87" s="48"/>
      <c r="HB87" s="48"/>
      <c r="HC87" s="48"/>
      <c r="HD87" s="48"/>
    </row>
    <row r="88" spans="1:212" s="46" customFormat="1">
      <c r="A88" s="42"/>
      <c r="D88" s="44"/>
      <c r="E88" s="45"/>
      <c r="F88" s="45"/>
      <c r="G88" s="63"/>
      <c r="H88" s="45"/>
      <c r="DK88" s="47"/>
      <c r="FL88" s="48"/>
      <c r="FM88" s="48"/>
      <c r="FN88" s="48"/>
      <c r="FO88" s="48"/>
      <c r="FP88" s="48"/>
      <c r="FQ88" s="48"/>
      <c r="FR88" s="48"/>
      <c r="FS88" s="48"/>
      <c r="FT88" s="48"/>
      <c r="FU88" s="48"/>
      <c r="FV88" s="48"/>
      <c r="FW88" s="48"/>
      <c r="FX88" s="48"/>
      <c r="FY88" s="48"/>
      <c r="FZ88" s="48"/>
      <c r="GA88" s="48"/>
      <c r="GB88" s="48"/>
      <c r="GC88" s="48"/>
      <c r="GD88" s="48"/>
      <c r="GE88" s="48"/>
      <c r="GF88" s="48"/>
      <c r="GG88" s="48"/>
      <c r="GH88" s="48"/>
      <c r="GI88" s="48"/>
      <c r="GJ88" s="48"/>
      <c r="GK88" s="48"/>
      <c r="GL88" s="48"/>
      <c r="GM88" s="48"/>
      <c r="GN88" s="48"/>
      <c r="GO88" s="48"/>
      <c r="GP88" s="48"/>
      <c r="GQ88" s="48"/>
      <c r="GR88" s="48"/>
      <c r="GS88" s="48"/>
      <c r="GT88" s="48"/>
      <c r="GU88" s="48"/>
      <c r="GV88" s="48"/>
      <c r="GW88" s="48"/>
      <c r="GX88" s="48"/>
      <c r="GY88" s="48"/>
      <c r="GZ88" s="48"/>
      <c r="HA88" s="48"/>
      <c r="HB88" s="48"/>
      <c r="HC88" s="48"/>
      <c r="HD88" s="48"/>
    </row>
    <row r="89" spans="1:212" s="46" customFormat="1">
      <c r="A89" s="42"/>
      <c r="D89" s="44"/>
      <c r="E89" s="45"/>
      <c r="F89" s="45"/>
      <c r="G89" s="63"/>
      <c r="H89" s="45"/>
      <c r="DK89" s="47"/>
      <c r="FL89" s="48"/>
      <c r="FM89" s="48"/>
      <c r="FN89" s="48"/>
      <c r="FO89" s="48"/>
      <c r="FP89" s="48"/>
      <c r="FQ89" s="48"/>
      <c r="FR89" s="48"/>
      <c r="FS89" s="48"/>
      <c r="FT89" s="48"/>
      <c r="FU89" s="48"/>
      <c r="FV89" s="48"/>
      <c r="FW89" s="48"/>
      <c r="FX89" s="48"/>
      <c r="FY89" s="48"/>
      <c r="FZ89" s="48"/>
      <c r="GA89" s="48"/>
      <c r="GB89" s="48"/>
      <c r="GC89" s="48"/>
      <c r="GD89" s="48"/>
      <c r="GE89" s="48"/>
      <c r="GF89" s="48"/>
      <c r="GG89" s="48"/>
      <c r="GH89" s="48"/>
      <c r="GI89" s="48"/>
      <c r="GJ89" s="48"/>
      <c r="GK89" s="48"/>
      <c r="GL89" s="48"/>
      <c r="GM89" s="48"/>
      <c r="GN89" s="48"/>
      <c r="GO89" s="48"/>
      <c r="GP89" s="48"/>
      <c r="GQ89" s="48"/>
      <c r="GR89" s="48"/>
      <c r="GS89" s="48"/>
      <c r="GT89" s="48"/>
      <c r="GU89" s="48"/>
      <c r="GV89" s="48"/>
      <c r="GW89" s="48"/>
      <c r="GX89" s="48"/>
      <c r="GY89" s="48"/>
      <c r="GZ89" s="48"/>
      <c r="HA89" s="48"/>
      <c r="HB89" s="48"/>
      <c r="HC89" s="48"/>
      <c r="HD89" s="48"/>
    </row>
    <row r="90" spans="1:212" s="46" customFormat="1">
      <c r="A90" s="42"/>
      <c r="D90" s="44"/>
      <c r="E90" s="45"/>
      <c r="F90" s="45"/>
      <c r="G90" s="63"/>
      <c r="H90" s="45"/>
      <c r="DK90" s="47"/>
      <c r="FL90" s="48"/>
      <c r="FM90" s="48"/>
      <c r="FN90" s="48"/>
      <c r="FO90" s="48"/>
      <c r="FP90" s="48"/>
      <c r="FQ90" s="48"/>
      <c r="FR90" s="48"/>
      <c r="FS90" s="48"/>
      <c r="FT90" s="48"/>
      <c r="FU90" s="48"/>
      <c r="FV90" s="48"/>
      <c r="FW90" s="48"/>
      <c r="FX90" s="48"/>
      <c r="FY90" s="48"/>
      <c r="FZ90" s="48"/>
      <c r="GA90" s="48"/>
      <c r="GB90" s="48"/>
      <c r="GC90" s="48"/>
      <c r="GD90" s="48"/>
      <c r="GE90" s="48"/>
      <c r="GF90" s="48"/>
      <c r="GG90" s="48"/>
      <c r="GH90" s="48"/>
      <c r="GI90" s="48"/>
      <c r="GJ90" s="48"/>
      <c r="GK90" s="48"/>
      <c r="GL90" s="48"/>
      <c r="GM90" s="48"/>
      <c r="GN90" s="48"/>
      <c r="GO90" s="48"/>
      <c r="GP90" s="48"/>
      <c r="GQ90" s="48"/>
      <c r="GR90" s="48"/>
      <c r="GS90" s="48"/>
      <c r="GT90" s="48"/>
      <c r="GU90" s="48"/>
      <c r="GV90" s="48"/>
      <c r="GW90" s="48"/>
      <c r="GX90" s="48"/>
      <c r="GY90" s="48"/>
      <c r="GZ90" s="48"/>
      <c r="HA90" s="48"/>
      <c r="HB90" s="48"/>
      <c r="HC90" s="48"/>
      <c r="HD90" s="48"/>
    </row>
    <row r="91" spans="1:212" s="46" customFormat="1">
      <c r="A91" s="42"/>
      <c r="D91" s="44"/>
      <c r="E91" s="45"/>
      <c r="F91" s="45"/>
      <c r="G91" s="63"/>
      <c r="H91" s="45"/>
      <c r="DK91" s="47"/>
      <c r="FL91" s="48"/>
      <c r="FM91" s="48"/>
      <c r="FN91" s="48"/>
      <c r="FO91" s="48"/>
      <c r="FP91" s="48"/>
      <c r="FQ91" s="48"/>
      <c r="FR91" s="48"/>
      <c r="FS91" s="48"/>
      <c r="FT91" s="48"/>
      <c r="FU91" s="48"/>
      <c r="FV91" s="48"/>
      <c r="FW91" s="48"/>
      <c r="FX91" s="48"/>
      <c r="FY91" s="48"/>
      <c r="FZ91" s="48"/>
      <c r="GA91" s="48"/>
      <c r="GB91" s="48"/>
      <c r="GC91" s="48"/>
      <c r="GD91" s="48"/>
      <c r="GE91" s="48"/>
      <c r="GF91" s="48"/>
      <c r="GG91" s="48"/>
      <c r="GH91" s="48"/>
      <c r="GI91" s="48"/>
      <c r="GJ91" s="48"/>
      <c r="GK91" s="48"/>
      <c r="GL91" s="48"/>
      <c r="GM91" s="48"/>
      <c r="GN91" s="48"/>
      <c r="GO91" s="48"/>
      <c r="GP91" s="48"/>
      <c r="GQ91" s="48"/>
      <c r="GR91" s="48"/>
      <c r="GS91" s="48"/>
      <c r="GT91" s="48"/>
      <c r="GU91" s="48"/>
      <c r="GV91" s="48"/>
      <c r="GW91" s="48"/>
      <c r="GX91" s="48"/>
      <c r="GY91" s="48"/>
      <c r="GZ91" s="48"/>
      <c r="HA91" s="48"/>
      <c r="HB91" s="48"/>
      <c r="HC91" s="48"/>
      <c r="HD91" s="48"/>
    </row>
    <row r="92" spans="1:212" s="46" customFormat="1">
      <c r="A92" s="42"/>
      <c r="D92" s="44"/>
      <c r="E92" s="45"/>
      <c r="F92" s="45"/>
      <c r="G92" s="63"/>
      <c r="H92" s="45"/>
      <c r="DK92" s="47"/>
      <c r="FL92" s="48"/>
      <c r="FM92" s="48"/>
      <c r="FN92" s="48"/>
      <c r="FO92" s="48"/>
      <c r="FP92" s="48"/>
      <c r="FQ92" s="48"/>
      <c r="FR92" s="48"/>
      <c r="FS92" s="48"/>
      <c r="FT92" s="48"/>
      <c r="FU92" s="48"/>
      <c r="FV92" s="48"/>
      <c r="FW92" s="48"/>
      <c r="FX92" s="48"/>
      <c r="FY92" s="48"/>
      <c r="FZ92" s="48"/>
      <c r="GA92" s="48"/>
      <c r="GB92" s="48"/>
      <c r="GC92" s="48"/>
      <c r="GD92" s="48"/>
      <c r="GE92" s="48"/>
      <c r="GF92" s="48"/>
      <c r="GG92" s="48"/>
      <c r="GH92" s="48"/>
      <c r="GI92" s="48"/>
      <c r="GJ92" s="48"/>
      <c r="GK92" s="48"/>
      <c r="GL92" s="48"/>
      <c r="GM92" s="48"/>
      <c r="GN92" s="48"/>
      <c r="GO92" s="48"/>
      <c r="GP92" s="48"/>
      <c r="GQ92" s="48"/>
      <c r="GR92" s="48"/>
      <c r="GS92" s="48"/>
      <c r="GT92" s="48"/>
      <c r="GU92" s="48"/>
      <c r="GV92" s="48"/>
      <c r="GW92" s="48"/>
      <c r="GX92" s="48"/>
      <c r="GY92" s="48"/>
      <c r="GZ92" s="48"/>
      <c r="HA92" s="48"/>
      <c r="HB92" s="48"/>
      <c r="HC92" s="48"/>
      <c r="HD92" s="48"/>
    </row>
    <row r="93" spans="1:212" s="46" customFormat="1">
      <c r="A93" s="42"/>
      <c r="D93" s="44"/>
      <c r="E93" s="45"/>
      <c r="F93" s="45"/>
      <c r="G93" s="63"/>
      <c r="H93" s="45"/>
      <c r="DK93" s="47"/>
      <c r="FL93" s="48"/>
      <c r="FM93" s="48"/>
      <c r="FN93" s="48"/>
      <c r="FO93" s="48"/>
      <c r="FP93" s="48"/>
      <c r="FQ93" s="48"/>
      <c r="FR93" s="48"/>
      <c r="FS93" s="48"/>
      <c r="FT93" s="48"/>
      <c r="FU93" s="48"/>
      <c r="FV93" s="48"/>
      <c r="FW93" s="48"/>
      <c r="FX93" s="48"/>
      <c r="FY93" s="48"/>
      <c r="FZ93" s="48"/>
      <c r="GA93" s="48"/>
      <c r="GB93" s="48"/>
      <c r="GC93" s="48"/>
      <c r="GD93" s="48"/>
      <c r="GE93" s="48"/>
      <c r="GF93" s="48"/>
      <c r="GG93" s="48"/>
      <c r="GH93" s="48"/>
      <c r="GI93" s="48"/>
      <c r="GJ93" s="48"/>
      <c r="GK93" s="48"/>
      <c r="GL93" s="48"/>
      <c r="GM93" s="48"/>
      <c r="GN93" s="48"/>
      <c r="GO93" s="48"/>
      <c r="GP93" s="48"/>
      <c r="GQ93" s="48"/>
      <c r="GR93" s="48"/>
      <c r="GS93" s="48"/>
      <c r="GT93" s="48"/>
      <c r="GU93" s="48"/>
      <c r="GV93" s="48"/>
      <c r="GW93" s="48"/>
      <c r="GX93" s="48"/>
      <c r="GY93" s="48"/>
      <c r="GZ93" s="48"/>
      <c r="HA93" s="48"/>
      <c r="HB93" s="48"/>
      <c r="HC93" s="48"/>
      <c r="HD93" s="48"/>
    </row>
    <row r="94" spans="1:212" s="46" customFormat="1">
      <c r="A94" s="42"/>
      <c r="D94" s="44"/>
      <c r="E94" s="45"/>
      <c r="F94" s="45"/>
      <c r="G94" s="63"/>
      <c r="H94" s="45"/>
      <c r="DK94" s="47"/>
      <c r="FL94" s="48"/>
      <c r="FM94" s="48"/>
      <c r="FN94" s="48"/>
      <c r="FO94" s="48"/>
      <c r="FP94" s="48"/>
      <c r="FQ94" s="48"/>
      <c r="FR94" s="48"/>
      <c r="FS94" s="48"/>
      <c r="FT94" s="48"/>
      <c r="FU94" s="48"/>
      <c r="FV94" s="48"/>
      <c r="FW94" s="48"/>
      <c r="FX94" s="48"/>
      <c r="FY94" s="48"/>
      <c r="FZ94" s="48"/>
      <c r="GA94" s="48"/>
      <c r="GB94" s="48"/>
      <c r="GC94" s="48"/>
      <c r="GD94" s="48"/>
      <c r="GE94" s="48"/>
      <c r="GF94" s="48"/>
      <c r="GG94" s="48"/>
      <c r="GH94" s="48"/>
      <c r="GI94" s="48"/>
      <c r="GJ94" s="48"/>
      <c r="GK94" s="48"/>
      <c r="GL94" s="48"/>
      <c r="GM94" s="48"/>
      <c r="GN94" s="48"/>
      <c r="GO94" s="48"/>
      <c r="GP94" s="48"/>
      <c r="GQ94" s="48"/>
      <c r="GR94" s="48"/>
      <c r="GS94" s="48"/>
      <c r="GT94" s="48"/>
      <c r="GU94" s="48"/>
      <c r="GV94" s="48"/>
      <c r="GW94" s="48"/>
      <c r="GX94" s="48"/>
      <c r="GY94" s="48"/>
      <c r="GZ94" s="48"/>
      <c r="HA94" s="48"/>
      <c r="HB94" s="48"/>
      <c r="HC94" s="48"/>
      <c r="HD94" s="48"/>
    </row>
    <row r="95" spans="1:212" s="46" customFormat="1">
      <c r="A95" s="42"/>
      <c r="D95" s="44"/>
      <c r="E95" s="45"/>
      <c r="F95" s="45"/>
      <c r="G95" s="63"/>
      <c r="H95" s="45"/>
      <c r="DK95" s="47"/>
      <c r="FL95" s="48"/>
      <c r="FM95" s="48"/>
      <c r="FN95" s="48"/>
      <c r="FO95" s="48"/>
      <c r="FP95" s="48"/>
      <c r="FQ95" s="48"/>
      <c r="FR95" s="48"/>
      <c r="FS95" s="48"/>
      <c r="FT95" s="48"/>
      <c r="FU95" s="48"/>
      <c r="FV95" s="48"/>
      <c r="FW95" s="48"/>
      <c r="FX95" s="48"/>
      <c r="FY95" s="48"/>
      <c r="FZ95" s="48"/>
      <c r="GA95" s="48"/>
      <c r="GB95" s="48"/>
      <c r="GC95" s="48"/>
      <c r="GD95" s="48"/>
      <c r="GE95" s="48"/>
      <c r="GF95" s="48"/>
      <c r="GG95" s="48"/>
      <c r="GH95" s="48"/>
      <c r="GI95" s="48"/>
      <c r="GJ95" s="48"/>
      <c r="GK95" s="48"/>
      <c r="GL95" s="48"/>
      <c r="GM95" s="48"/>
      <c r="GN95" s="48"/>
      <c r="GO95" s="48"/>
      <c r="GP95" s="48"/>
      <c r="GQ95" s="48"/>
      <c r="GR95" s="48"/>
      <c r="GS95" s="48"/>
      <c r="GT95" s="48"/>
      <c r="GU95" s="48"/>
      <c r="GV95" s="48"/>
      <c r="GW95" s="48"/>
      <c r="GX95" s="48"/>
      <c r="GY95" s="48"/>
      <c r="GZ95" s="48"/>
      <c r="HA95" s="48"/>
      <c r="HB95" s="48"/>
      <c r="HC95" s="48"/>
      <c r="HD95" s="48"/>
    </row>
    <row r="96" spans="1:212" s="46" customFormat="1">
      <c r="A96" s="42"/>
      <c r="D96" s="44"/>
      <c r="E96" s="45"/>
      <c r="F96" s="45"/>
      <c r="G96" s="63"/>
      <c r="H96" s="45"/>
      <c r="DK96" s="47"/>
      <c r="FL96" s="48"/>
      <c r="FM96" s="48"/>
      <c r="FN96" s="48"/>
      <c r="FO96" s="48"/>
      <c r="FP96" s="48"/>
      <c r="FQ96" s="48"/>
      <c r="FR96" s="48"/>
      <c r="FS96" s="48"/>
      <c r="FT96" s="48"/>
      <c r="FU96" s="48"/>
      <c r="FV96" s="48"/>
      <c r="FW96" s="48"/>
      <c r="FX96" s="48"/>
      <c r="FY96" s="48"/>
      <c r="FZ96" s="48"/>
      <c r="GA96" s="48"/>
      <c r="GB96" s="48"/>
      <c r="GC96" s="48"/>
      <c r="GD96" s="48"/>
      <c r="GE96" s="48"/>
      <c r="GF96" s="48"/>
      <c r="GG96" s="48"/>
      <c r="GH96" s="48"/>
      <c r="GI96" s="48"/>
      <c r="GJ96" s="48"/>
      <c r="GK96" s="48"/>
      <c r="GL96" s="48"/>
      <c r="GM96" s="48"/>
      <c r="GN96" s="48"/>
      <c r="GO96" s="48"/>
      <c r="GP96" s="48"/>
      <c r="GQ96" s="48"/>
      <c r="GR96" s="48"/>
      <c r="GS96" s="48"/>
      <c r="GT96" s="48"/>
      <c r="GU96" s="48"/>
      <c r="GV96" s="48"/>
      <c r="GW96" s="48"/>
      <c r="GX96" s="48"/>
      <c r="GY96" s="48"/>
      <c r="GZ96" s="48"/>
      <c r="HA96" s="48"/>
      <c r="HB96" s="48"/>
      <c r="HC96" s="48"/>
      <c r="HD96" s="48"/>
    </row>
    <row r="97" spans="1:212" s="46" customFormat="1">
      <c r="A97" s="42"/>
      <c r="D97" s="44"/>
      <c r="E97" s="45"/>
      <c r="F97" s="45"/>
      <c r="G97" s="63"/>
      <c r="H97" s="45"/>
      <c r="DK97" s="47"/>
      <c r="FL97" s="48"/>
      <c r="FM97" s="48"/>
      <c r="FN97" s="48"/>
      <c r="FO97" s="48"/>
      <c r="FP97" s="48"/>
      <c r="FQ97" s="48"/>
      <c r="FR97" s="48"/>
      <c r="FS97" s="48"/>
      <c r="FT97" s="48"/>
      <c r="FU97" s="48"/>
      <c r="FV97" s="48"/>
      <c r="FW97" s="48"/>
      <c r="FX97" s="48"/>
      <c r="FY97" s="48"/>
      <c r="FZ97" s="48"/>
      <c r="GA97" s="48"/>
      <c r="GB97" s="48"/>
      <c r="GC97" s="48"/>
      <c r="GD97" s="48"/>
      <c r="GE97" s="48"/>
      <c r="GF97" s="48"/>
      <c r="GG97" s="48"/>
      <c r="GH97" s="48"/>
      <c r="GI97" s="48"/>
      <c r="GJ97" s="48"/>
      <c r="GK97" s="48"/>
      <c r="GL97" s="48"/>
      <c r="GM97" s="48"/>
      <c r="GN97" s="48"/>
      <c r="GO97" s="48"/>
      <c r="GP97" s="48"/>
      <c r="GQ97" s="48"/>
      <c r="GR97" s="48"/>
      <c r="GS97" s="48"/>
      <c r="GT97" s="48"/>
      <c r="GU97" s="48"/>
      <c r="GV97" s="48"/>
      <c r="GW97" s="48"/>
      <c r="GX97" s="48"/>
      <c r="GY97" s="48"/>
      <c r="GZ97" s="48"/>
      <c r="HA97" s="48"/>
      <c r="HB97" s="48"/>
      <c r="HC97" s="48"/>
      <c r="HD97" s="48"/>
    </row>
    <row r="98" spans="1:212" s="46" customFormat="1">
      <c r="A98" s="42"/>
      <c r="D98" s="44"/>
      <c r="E98" s="45"/>
      <c r="F98" s="45"/>
      <c r="G98" s="63"/>
      <c r="H98" s="45"/>
      <c r="DK98" s="47"/>
      <c r="FL98" s="48"/>
      <c r="FM98" s="48"/>
      <c r="FN98" s="48"/>
      <c r="FO98" s="48"/>
      <c r="FP98" s="48"/>
      <c r="FQ98" s="48"/>
      <c r="FR98" s="48"/>
      <c r="FS98" s="48"/>
      <c r="FT98" s="48"/>
      <c r="FU98" s="48"/>
      <c r="FV98" s="48"/>
      <c r="FW98" s="48"/>
      <c r="FX98" s="48"/>
      <c r="FY98" s="48"/>
      <c r="FZ98" s="48"/>
      <c r="GA98" s="48"/>
      <c r="GB98" s="48"/>
      <c r="GC98" s="48"/>
      <c r="GD98" s="48"/>
      <c r="GE98" s="48"/>
      <c r="GF98" s="48"/>
      <c r="GG98" s="48"/>
      <c r="GH98" s="48"/>
      <c r="GI98" s="48"/>
      <c r="GJ98" s="48"/>
      <c r="GK98" s="48"/>
      <c r="GL98" s="48"/>
      <c r="GM98" s="48"/>
      <c r="GN98" s="48"/>
      <c r="GO98" s="48"/>
      <c r="GP98" s="48"/>
      <c r="GQ98" s="48"/>
      <c r="GR98" s="48"/>
      <c r="GS98" s="48"/>
      <c r="GT98" s="48"/>
      <c r="GU98" s="48"/>
      <c r="GV98" s="48"/>
      <c r="GW98" s="48"/>
      <c r="GX98" s="48"/>
      <c r="GY98" s="48"/>
      <c r="GZ98" s="48"/>
      <c r="HA98" s="48"/>
      <c r="HB98" s="48"/>
      <c r="HC98" s="48"/>
      <c r="HD98" s="48"/>
    </row>
    <row r="99" spans="1:212" s="46" customFormat="1">
      <c r="A99" s="42"/>
      <c r="D99" s="44"/>
      <c r="E99" s="45"/>
      <c r="F99" s="45"/>
      <c r="G99" s="63"/>
      <c r="H99" s="45"/>
      <c r="DK99" s="47"/>
      <c r="FL99" s="48"/>
      <c r="FM99" s="48"/>
      <c r="FN99" s="48"/>
      <c r="FO99" s="48"/>
      <c r="FP99" s="48"/>
      <c r="FQ99" s="48"/>
      <c r="FR99" s="48"/>
      <c r="FS99" s="48"/>
      <c r="FT99" s="48"/>
      <c r="FU99" s="48"/>
      <c r="FV99" s="48"/>
      <c r="FW99" s="48"/>
      <c r="FX99" s="48"/>
      <c r="FY99" s="48"/>
      <c r="FZ99" s="48"/>
      <c r="GA99" s="48"/>
      <c r="GB99" s="48"/>
      <c r="GC99" s="48"/>
      <c r="GD99" s="48"/>
      <c r="GE99" s="48"/>
      <c r="GF99" s="48"/>
      <c r="GG99" s="48"/>
      <c r="GH99" s="48"/>
      <c r="GI99" s="48"/>
      <c r="GJ99" s="48"/>
      <c r="GK99" s="48"/>
      <c r="GL99" s="48"/>
      <c r="GM99" s="48"/>
      <c r="GN99" s="48"/>
      <c r="GO99" s="48"/>
      <c r="GP99" s="48"/>
      <c r="GQ99" s="48"/>
      <c r="GR99" s="48"/>
      <c r="GS99" s="48"/>
      <c r="GT99" s="48"/>
      <c r="GU99" s="48"/>
      <c r="GV99" s="48"/>
      <c r="GW99" s="48"/>
      <c r="GX99" s="48"/>
      <c r="GY99" s="48"/>
      <c r="GZ99" s="48"/>
      <c r="HA99" s="48"/>
      <c r="HB99" s="48"/>
      <c r="HC99" s="48"/>
      <c r="HD99" s="48"/>
    </row>
    <row r="100" spans="1:212" s="46" customFormat="1">
      <c r="A100" s="42"/>
      <c r="D100" s="44"/>
      <c r="E100" s="45"/>
      <c r="F100" s="45"/>
      <c r="G100" s="63"/>
      <c r="H100" s="45"/>
      <c r="DK100" s="47"/>
      <c r="FL100" s="48"/>
      <c r="FM100" s="48"/>
      <c r="FN100" s="48"/>
      <c r="FO100" s="48"/>
      <c r="FP100" s="48"/>
      <c r="FQ100" s="48"/>
      <c r="FR100" s="48"/>
      <c r="FS100" s="48"/>
      <c r="FT100" s="48"/>
      <c r="FU100" s="48"/>
      <c r="FV100" s="48"/>
      <c r="FW100" s="48"/>
      <c r="FX100" s="48"/>
      <c r="FY100" s="48"/>
      <c r="FZ100" s="48"/>
      <c r="GA100" s="48"/>
      <c r="GB100" s="48"/>
      <c r="GC100" s="48"/>
      <c r="GD100" s="48"/>
      <c r="GE100" s="48"/>
      <c r="GF100" s="48"/>
      <c r="GG100" s="48"/>
      <c r="GH100" s="48"/>
      <c r="GI100" s="48"/>
      <c r="GJ100" s="48"/>
      <c r="GK100" s="48"/>
      <c r="GL100" s="48"/>
      <c r="GM100" s="48"/>
      <c r="GN100" s="48"/>
      <c r="GO100" s="48"/>
      <c r="GP100" s="48"/>
      <c r="GQ100" s="48"/>
      <c r="GR100" s="48"/>
      <c r="GS100" s="48"/>
      <c r="GT100" s="48"/>
      <c r="GU100" s="48"/>
      <c r="GV100" s="48"/>
      <c r="GW100" s="48"/>
      <c r="GX100" s="48"/>
      <c r="GY100" s="48"/>
      <c r="GZ100" s="48"/>
      <c r="HA100" s="48"/>
      <c r="HB100" s="48"/>
      <c r="HC100" s="48"/>
      <c r="HD100" s="48"/>
    </row>
    <row r="101" spans="1:212" s="46" customFormat="1">
      <c r="A101" s="42"/>
      <c r="D101" s="44"/>
      <c r="E101" s="45"/>
      <c r="F101" s="45"/>
      <c r="G101" s="63"/>
      <c r="H101" s="45"/>
      <c r="DK101" s="47"/>
      <c r="FL101" s="48"/>
      <c r="FM101" s="48"/>
      <c r="FN101" s="48"/>
      <c r="FO101" s="48"/>
      <c r="FP101" s="48"/>
      <c r="FQ101" s="48"/>
      <c r="FR101" s="48"/>
      <c r="FS101" s="48"/>
      <c r="FT101" s="48"/>
      <c r="FU101" s="48"/>
      <c r="FV101" s="48"/>
      <c r="FW101" s="48"/>
      <c r="FX101" s="48"/>
      <c r="FY101" s="48"/>
      <c r="FZ101" s="48"/>
      <c r="GA101" s="48"/>
      <c r="GB101" s="48"/>
      <c r="GC101" s="48"/>
      <c r="GD101" s="48"/>
      <c r="GE101" s="48"/>
      <c r="GF101" s="48"/>
      <c r="GG101" s="48"/>
      <c r="GH101" s="48"/>
      <c r="GI101" s="48"/>
      <c r="GJ101" s="48"/>
      <c r="GK101" s="48"/>
      <c r="GL101" s="48"/>
      <c r="GM101" s="48"/>
      <c r="GN101" s="48"/>
      <c r="GO101" s="48"/>
      <c r="GP101" s="48"/>
      <c r="GQ101" s="48"/>
      <c r="GR101" s="48"/>
      <c r="GS101" s="48"/>
      <c r="GT101" s="48"/>
      <c r="GU101" s="48"/>
      <c r="GV101" s="48"/>
      <c r="GW101" s="48"/>
      <c r="GX101" s="48"/>
      <c r="GY101" s="48"/>
      <c r="GZ101" s="48"/>
      <c r="HA101" s="48"/>
      <c r="HB101" s="48"/>
      <c r="HC101" s="48"/>
      <c r="HD101" s="48"/>
    </row>
    <row r="102" spans="1:212" s="46" customFormat="1">
      <c r="A102" s="42"/>
      <c r="D102" s="44"/>
      <c r="E102" s="45"/>
      <c r="F102" s="45"/>
      <c r="G102" s="63"/>
      <c r="H102" s="45"/>
      <c r="DK102" s="47"/>
      <c r="FL102" s="48"/>
      <c r="FM102" s="48"/>
      <c r="FN102" s="48"/>
      <c r="FO102" s="48"/>
      <c r="FP102" s="48"/>
      <c r="FQ102" s="48"/>
      <c r="FR102" s="48"/>
      <c r="FS102" s="48"/>
      <c r="FT102" s="48"/>
      <c r="FU102" s="48"/>
      <c r="FV102" s="48"/>
      <c r="FW102" s="48"/>
      <c r="FX102" s="48"/>
      <c r="FY102" s="48"/>
      <c r="FZ102" s="48"/>
      <c r="GA102" s="48"/>
      <c r="GB102" s="48"/>
      <c r="GC102" s="48"/>
      <c r="GD102" s="48"/>
      <c r="GE102" s="48"/>
      <c r="GF102" s="48"/>
      <c r="GG102" s="48"/>
      <c r="GH102" s="48"/>
      <c r="GI102" s="48"/>
      <c r="GJ102" s="48"/>
      <c r="GK102" s="48"/>
      <c r="GL102" s="48"/>
      <c r="GM102" s="48"/>
      <c r="GN102" s="48"/>
      <c r="GO102" s="48"/>
      <c r="GP102" s="48"/>
      <c r="GQ102" s="48"/>
      <c r="GR102" s="48"/>
      <c r="GS102" s="48"/>
      <c r="GT102" s="48"/>
      <c r="GU102" s="48"/>
      <c r="GV102" s="48"/>
      <c r="GW102" s="48"/>
      <c r="GX102" s="48"/>
      <c r="GY102" s="48"/>
      <c r="GZ102" s="48"/>
      <c r="HA102" s="48"/>
      <c r="HB102" s="48"/>
      <c r="HC102" s="48"/>
      <c r="HD102" s="48"/>
    </row>
  </sheetData>
  <sheetProtection insertRows="0" insertHyperlinks="0"/>
  <mergeCells count="113">
    <mergeCell ref="B61:C61"/>
    <mergeCell ref="B62:C62"/>
    <mergeCell ref="B55:C55"/>
    <mergeCell ref="B56:C57"/>
    <mergeCell ref="H56:H57"/>
    <mergeCell ref="I56:I57"/>
    <mergeCell ref="B58:C58"/>
    <mergeCell ref="B59:C60"/>
    <mergeCell ref="H59:H60"/>
    <mergeCell ref="I59:I60"/>
    <mergeCell ref="B49:C49"/>
    <mergeCell ref="B50:C51"/>
    <mergeCell ref="H50:H51"/>
    <mergeCell ref="I50:I51"/>
    <mergeCell ref="B52:C52"/>
    <mergeCell ref="B53:C54"/>
    <mergeCell ref="H53:H54"/>
    <mergeCell ref="I53:I54"/>
    <mergeCell ref="B43:C43"/>
    <mergeCell ref="B44:C45"/>
    <mergeCell ref="H44:H45"/>
    <mergeCell ref="I44:I45"/>
    <mergeCell ref="B46:C46"/>
    <mergeCell ref="B47:C48"/>
    <mergeCell ref="H47:H48"/>
    <mergeCell ref="I47:I48"/>
    <mergeCell ref="B40:C40"/>
    <mergeCell ref="B41:C42"/>
    <mergeCell ref="H41:H42"/>
    <mergeCell ref="I41:I42"/>
    <mergeCell ref="B35:C36"/>
    <mergeCell ref="I35:I36"/>
    <mergeCell ref="B37:C37"/>
    <mergeCell ref="B38:C39"/>
    <mergeCell ref="H38:H39"/>
    <mergeCell ref="I38:I39"/>
    <mergeCell ref="H35:H36"/>
    <mergeCell ref="B32:C33"/>
    <mergeCell ref="H32:H33"/>
    <mergeCell ref="I32:I33"/>
    <mergeCell ref="B28:C28"/>
    <mergeCell ref="B29:C30"/>
    <mergeCell ref="H29:H30"/>
    <mergeCell ref="I29:I30"/>
    <mergeCell ref="B31:C31"/>
    <mergeCell ref="B34:C34"/>
    <mergeCell ref="B13:C13"/>
    <mergeCell ref="B14:C15"/>
    <mergeCell ref="H14:H15"/>
    <mergeCell ref="I14:I15"/>
    <mergeCell ref="B16:C16"/>
    <mergeCell ref="B26:C27"/>
    <mergeCell ref="H26:H27"/>
    <mergeCell ref="I26:I27"/>
    <mergeCell ref="ET4:EW4"/>
    <mergeCell ref="AS4:AV4"/>
    <mergeCell ref="AW4:BA4"/>
    <mergeCell ref="BB4:BE4"/>
    <mergeCell ref="BF4:BI4"/>
    <mergeCell ref="BJ4:BN4"/>
    <mergeCell ref="BO4:BR4"/>
    <mergeCell ref="S4:V4"/>
    <mergeCell ref="W4:AA4"/>
    <mergeCell ref="AB4:AE4"/>
    <mergeCell ref="AF4:AI4"/>
    <mergeCell ref="AJ4:AN4"/>
    <mergeCell ref="AO4:AR4"/>
    <mergeCell ref="B17:C18"/>
    <mergeCell ref="H17:H18"/>
    <mergeCell ref="I17:I18"/>
    <mergeCell ref="B11:C12"/>
    <mergeCell ref="H11:H12"/>
    <mergeCell ref="I11:I12"/>
    <mergeCell ref="DS4:DW4"/>
    <mergeCell ref="DX4:EA4"/>
    <mergeCell ref="EB4:EF4"/>
    <mergeCell ref="EG4:EJ4"/>
    <mergeCell ref="EK4:EN4"/>
    <mergeCell ref="EO4:ES4"/>
    <mergeCell ref="CS4:CW4"/>
    <mergeCell ref="CX4:DA4"/>
    <mergeCell ref="DB4:DE4"/>
    <mergeCell ref="DF4:DI4"/>
    <mergeCell ref="DJ4:DN4"/>
    <mergeCell ref="DO4:DR4"/>
    <mergeCell ref="BS4:BV4"/>
    <mergeCell ref="BW4:CA4"/>
    <mergeCell ref="CB4:CE4"/>
    <mergeCell ref="CF4:CI4"/>
    <mergeCell ref="CJ4:CN4"/>
    <mergeCell ref="CO4:CR4"/>
    <mergeCell ref="B1:I2"/>
    <mergeCell ref="J2:R2"/>
    <mergeCell ref="BK2:BS2"/>
    <mergeCell ref="DJ2:DT2"/>
    <mergeCell ref="B3:D5"/>
    <mergeCell ref="J3:BI3"/>
    <mergeCell ref="DJ3:FJ3"/>
    <mergeCell ref="J4:N4"/>
    <mergeCell ref="O4:R4"/>
    <mergeCell ref="BJ3:BR3"/>
    <mergeCell ref="EX4:FA4"/>
    <mergeCell ref="FB4:FE4"/>
    <mergeCell ref="FF4:FJ4"/>
    <mergeCell ref="B19:C19"/>
    <mergeCell ref="B23:C24"/>
    <mergeCell ref="H23:H24"/>
    <mergeCell ref="I23:I24"/>
    <mergeCell ref="B25:C25"/>
    <mergeCell ref="B20:C21"/>
    <mergeCell ref="H20:H21"/>
    <mergeCell ref="I20:I21"/>
    <mergeCell ref="B22:C22"/>
  </mergeCells>
  <conditionalFormatting sqref="J6:BI6">
    <cfRule type="expression" dxfId="294" priority="445" stopIfTrue="1">
      <formula>J$9="x"</formula>
    </cfRule>
  </conditionalFormatting>
  <conditionalFormatting sqref="J5 N5">
    <cfRule type="expression" dxfId="293" priority="444" stopIfTrue="1">
      <formula>MONTH(#REF!)=1</formula>
    </cfRule>
  </conditionalFormatting>
  <conditionalFormatting sqref="J3">
    <cfRule type="cellIs" dxfId="292" priority="443" stopIfTrue="1" operator="notBetween">
      <formula>2016</formula>
      <formula>2020</formula>
    </cfRule>
  </conditionalFormatting>
  <conditionalFormatting sqref="B61:B62">
    <cfRule type="expression" dxfId="291" priority="442" stopIfTrue="1">
      <formula>$I61="●"</formula>
    </cfRule>
  </conditionalFormatting>
  <conditionalFormatting sqref="I61:I62">
    <cfRule type="cellIs" dxfId="290" priority="440" stopIfTrue="1" operator="equal">
      <formula>"L"</formula>
    </cfRule>
    <cfRule type="cellIs" dxfId="289" priority="441" stopIfTrue="1" operator="equal">
      <formula>"ü"</formula>
    </cfRule>
  </conditionalFormatting>
  <conditionalFormatting sqref="I35:I36">
    <cfRule type="cellIs" dxfId="288" priority="437" stopIfTrue="1" operator="equal">
      <formula>"@"</formula>
    </cfRule>
    <cfRule type="cellIs" dxfId="287" priority="438" stopIfTrue="1" operator="equal">
      <formula>"L"</formula>
    </cfRule>
    <cfRule type="cellIs" dxfId="286" priority="439" stopIfTrue="1" operator="equal">
      <formula>"ü"</formula>
    </cfRule>
  </conditionalFormatting>
  <conditionalFormatting sqref="DC13:DH15 J12:FJ12 J30:FJ30 J15:DB15 DI15:FJ15 BE13:BF14 CH29 BE28:BF29 DC29:DH29 J33:FJ33 J36:BD36 BG36:FJ36 J39:EW39 EY39:FJ39 EX37 DC31:DH35 DC37:DH38 BE31:BF37 CH31:CH35 CH37 J57:EW57 EY57:FJ57 EX57:EX58 DD59:DH59 DC56:DG56 DC58:DG58 J60:FJ60 BE58:BF59 J42:EW42 J45:EW45 J54:EW54 EY42:FJ42 EY45:FJ45 EY54:FJ54 BE40:BF41 BE43:BF44 BE52:BF53 BE55:BF56 DC40:DH41 DC43:DH44 DC52:DH53 DC55:DH55 J48:EW48 J51:EW51 EY48:FJ48 EY51:FJ51 BE46:BF47 BE49:BF50 DC46:DH47 DC49:DH50">
    <cfRule type="expression" dxfId="285" priority="435" stopIfTrue="1">
      <formula>AND(K$8&gt;$E12,J$8&lt;=$F12)</formula>
    </cfRule>
    <cfRule type="expression" dxfId="284" priority="436" stopIfTrue="1">
      <formula>J$9="X"</formula>
    </cfRule>
  </conditionalFormatting>
  <conditionalFormatting sqref="DI13:ET14 EW14 FA11:FF11 J13:BD14 BG13:DB14 J11:EU11 FJ11 EY13:FJ14 DT28:ET28 DI31:ET31 BW31:CG31 CI31 CK31:DB31 J31:Y31 DI29:EU29 BW29:CG29 CI29:DB29 J29:Y29 EY29:FJ29 EW29 DI34:ET34 EW34 BW34:CG34 EY34:FJ34 J34:Y34 CK40:DB40 BG40:CI40 FJ37:FJ38 DK37:EV38 EY37:FH38 J37:BD37 CI37 CK37:DB38 BG37:CG37 DI37:DI38 J38:CI38 FJ61 DK61:EV61 EY61:FH61 J61:DI61 DC59 BG15:BV15 Z15:BD15 EZ31:FJ31 EZ28:FJ28 DH56:DH58 FJ58:FJ59 J58:BD59 DK58:EV59 EY58:FH59 BG58:DB59 DI58:DI59 FJ56 J56:BD56 DK56:EV56 EY56:FH56 BG56:DB56 DI56 J35:BD35 DK35:ES35 EY35:FE35 FG35:FH35 EU35:EV35 BG35:CG35 BG28:BV34 Z28:BD34 FJ35 CI34:CI35 CK34:DB35 DI35 CJ30:CJ40 FJ40:FJ41 J40:BD41 DK40:EV41 EY40:FH41 DI40:DI41 BG41:DB41">
    <cfRule type="expression" dxfId="283" priority="434" stopIfTrue="1">
      <formula>J$9="X"</formula>
    </cfRule>
  </conditionalFormatting>
  <conditionalFormatting sqref="BJ6:DI6 DK6:EV6 EX6:FH6">
    <cfRule type="expression" dxfId="282" priority="447" stopIfTrue="1">
      <formula>BK$9="x"</formula>
    </cfRule>
  </conditionalFormatting>
  <conditionalFormatting sqref="DJ36 DJ39 DJ57">
    <cfRule type="expression" dxfId="281" priority="432" stopIfTrue="1">
      <formula>AND(#REF!&gt;$E36,DJ$8&lt;=$F36)</formula>
    </cfRule>
    <cfRule type="expression" dxfId="280" priority="446" stopIfTrue="1">
      <formula>DJ$9="X"</formula>
    </cfRule>
  </conditionalFormatting>
  <conditionalFormatting sqref="DJ32 DJ37:DJ38 DJ35 DJ61 DJ58:DJ59 DJ40:DJ41 DJ43:DJ44 DJ52:DJ53 DJ55:DJ56 DJ46:DJ47 DJ49:DJ50">
    <cfRule type="expression" dxfId="279" priority="448" stopIfTrue="1">
      <formula>AND(#REF!&gt;$E32,DJ$8&lt;=$F32)</formula>
    </cfRule>
    <cfRule type="expression" dxfId="278" priority="449" stopIfTrue="1">
      <formula>DJ$9="X"</formula>
    </cfRule>
  </conditionalFormatting>
  <conditionalFormatting sqref="DJ6">
    <cfRule type="expression" dxfId="277" priority="450" stopIfTrue="1">
      <formula>#REF!="x"</formula>
    </cfRule>
  </conditionalFormatting>
  <conditionalFormatting sqref="I40">
    <cfRule type="cellIs" dxfId="276" priority="430" stopIfTrue="1" operator="equal">
      <formula>"L"</formula>
    </cfRule>
    <cfRule type="cellIs" dxfId="275" priority="431" stopIfTrue="1" operator="equal">
      <formula>"ü"</formula>
    </cfRule>
  </conditionalFormatting>
  <conditionalFormatting sqref="I59:I60">
    <cfRule type="cellIs" dxfId="274" priority="424" stopIfTrue="1" operator="equal">
      <formula>"@"</formula>
    </cfRule>
    <cfRule type="cellIs" dxfId="273" priority="425" stopIfTrue="1" operator="equal">
      <formula>"L"</formula>
    </cfRule>
    <cfRule type="cellIs" dxfId="272" priority="426" stopIfTrue="1" operator="equal">
      <formula>"ü"</formula>
    </cfRule>
  </conditionalFormatting>
  <conditionalFormatting sqref="BJ5">
    <cfRule type="expression" dxfId="271" priority="423" stopIfTrue="1">
      <formula>MONTH(#REF!)=1</formula>
    </cfRule>
  </conditionalFormatting>
  <conditionalFormatting sqref="BN5">
    <cfRule type="expression" dxfId="270" priority="422" stopIfTrue="1">
      <formula>MONTH(#REF!)=1</formula>
    </cfRule>
  </conditionalFormatting>
  <conditionalFormatting sqref="EU15 EU30 EW33 EW36 EW39 EW57 EW60 EW42 EW45 EW54 EW48 EW51">
    <cfRule type="expression" dxfId="269" priority="451" stopIfTrue="1">
      <formula>AND(EW$8&gt;$E15,EU$8&lt;=$F15)</formula>
    </cfRule>
    <cfRule type="expression" dxfId="268" priority="452" stopIfTrue="1">
      <formula>EU$9="X"</formula>
    </cfRule>
  </conditionalFormatting>
  <conditionalFormatting sqref="EU12:EU14 EW12:EW13 EU28 EU31 EU34 EW37:EW38 EW35 EW61 EW58:EW59 EW40:EW41 EW43:EW44 EW52:EW53 EW55:EW56 EW46:EW47 EW49:EW50">
    <cfRule type="expression" dxfId="267" priority="453" stopIfTrue="1">
      <formula>AND(EW$8&gt;$E12,EU$8&lt;=$F12)</formula>
    </cfRule>
    <cfRule type="expression" dxfId="266" priority="454" stopIfTrue="1">
      <formula>EU$9="X"</formula>
    </cfRule>
  </conditionalFormatting>
  <conditionalFormatting sqref="EW6:EX6">
    <cfRule type="expression" dxfId="265" priority="455" stopIfTrue="1">
      <formula>EY$9="x"</formula>
    </cfRule>
  </conditionalFormatting>
  <conditionalFormatting sqref="DJ5">
    <cfRule type="expression" dxfId="264" priority="421" stopIfTrue="1">
      <formula>MONTH(#REF!)=1</formula>
    </cfRule>
  </conditionalFormatting>
  <conditionalFormatting sqref="DN5">
    <cfRule type="expression" dxfId="263" priority="420" stopIfTrue="1">
      <formula>MONTH(#REF!)=1</formula>
    </cfRule>
  </conditionalFormatting>
  <conditionalFormatting sqref="FI36 FI39 FI57 FI60">
    <cfRule type="expression" dxfId="262" priority="456" stopIfTrue="1">
      <formula>AND(#REF!&gt;$E36,FI$8&lt;=$F36)</formula>
    </cfRule>
    <cfRule type="expression" dxfId="261" priority="457" stopIfTrue="1">
      <formula>FI$9="X"</formula>
    </cfRule>
  </conditionalFormatting>
  <conditionalFormatting sqref="FG11:FI11 FI32 FI35 FI37:FI38 FI61 FI58:FI59 FI40:FI41 FI43:FI44 FI52:FI53 FI55:FI56 FI46:FI47 FI49:FI50">
    <cfRule type="expression" dxfId="260" priority="458" stopIfTrue="1">
      <formula>AND(#REF!&gt;$E11,FG$8&lt;=$F11)</formula>
    </cfRule>
    <cfRule type="expression" dxfId="259" priority="459" stopIfTrue="1">
      <formula>FG$9="X"</formula>
    </cfRule>
  </conditionalFormatting>
  <conditionalFormatting sqref="FI6">
    <cfRule type="expression" dxfId="258" priority="460" stopIfTrue="1">
      <formula>#REF!="x"</formula>
    </cfRule>
  </conditionalFormatting>
  <conditionalFormatting sqref="EW11:EZ11 EV11:EV12 EX12 EX38 EX56 EX59">
    <cfRule type="expression" dxfId="257" priority="461" stopIfTrue="1">
      <formula>AND(FE$8&gt;$E13,FD$8&lt;=$F13)</formula>
    </cfRule>
    <cfRule type="expression" dxfId="256" priority="462" stopIfTrue="1">
      <formula>FD$9="X"</formula>
    </cfRule>
  </conditionalFormatting>
  <conditionalFormatting sqref="EX60:EX61">
    <cfRule type="expression" dxfId="255" priority="463" stopIfTrue="1">
      <formula>AND(FG$8&gt;#REF!,FF$8&lt;=#REF!)</formula>
    </cfRule>
    <cfRule type="expression" dxfId="254" priority="464" stopIfTrue="1">
      <formula>FF$9="X"</formula>
    </cfRule>
  </conditionalFormatting>
  <conditionalFormatting sqref="I11:I12">
    <cfRule type="cellIs" dxfId="253" priority="417" stopIfTrue="1" operator="equal">
      <formula>"@"</formula>
    </cfRule>
    <cfRule type="cellIs" dxfId="252" priority="418" stopIfTrue="1" operator="equal">
      <formula>"L"</formula>
    </cfRule>
    <cfRule type="cellIs" dxfId="251" priority="419" stopIfTrue="1" operator="equal">
      <formula>"ü"</formula>
    </cfRule>
  </conditionalFormatting>
  <conditionalFormatting sqref="I14:I15">
    <cfRule type="cellIs" dxfId="250" priority="414" stopIfTrue="1" operator="equal">
      <formula>"@"</formula>
    </cfRule>
    <cfRule type="cellIs" dxfId="249" priority="415" stopIfTrue="1" operator="equal">
      <formula>"L"</formula>
    </cfRule>
    <cfRule type="cellIs" dxfId="248" priority="416" stopIfTrue="1" operator="equal">
      <formula>"ü"</formula>
    </cfRule>
  </conditionalFormatting>
  <conditionalFormatting sqref="B11">
    <cfRule type="expression" dxfId="247" priority="411" stopIfTrue="1">
      <formula>$I11="●"</formula>
    </cfRule>
  </conditionalFormatting>
  <conditionalFormatting sqref="I37">
    <cfRule type="cellIs" dxfId="246" priority="409" stopIfTrue="1" operator="equal">
      <formula>"L"</formula>
    </cfRule>
    <cfRule type="cellIs" dxfId="245" priority="410" stopIfTrue="1" operator="equal">
      <formula>"ü"</formula>
    </cfRule>
  </conditionalFormatting>
  <conditionalFormatting sqref="I38:I39">
    <cfRule type="cellIs" dxfId="244" priority="406" stopIfTrue="1" operator="equal">
      <formula>"@"</formula>
    </cfRule>
    <cfRule type="cellIs" dxfId="243" priority="407" stopIfTrue="1" operator="equal">
      <formula>"L"</formula>
    </cfRule>
    <cfRule type="cellIs" dxfId="242" priority="408" stopIfTrue="1" operator="equal">
      <formula>"ü"</formula>
    </cfRule>
  </conditionalFormatting>
  <conditionalFormatting sqref="I58">
    <cfRule type="cellIs" dxfId="241" priority="404" stopIfTrue="1" operator="equal">
      <formula>"L"</formula>
    </cfRule>
    <cfRule type="cellIs" dxfId="240" priority="405" stopIfTrue="1" operator="equal">
      <formula>"ü"</formula>
    </cfRule>
  </conditionalFormatting>
  <conditionalFormatting sqref="B58">
    <cfRule type="expression" dxfId="239" priority="403" stopIfTrue="1">
      <formula>$J58="●"</formula>
    </cfRule>
  </conditionalFormatting>
  <conditionalFormatting sqref="I56:I57">
    <cfRule type="cellIs" dxfId="238" priority="400" stopIfTrue="1" operator="equal">
      <formula>"@"</formula>
    </cfRule>
    <cfRule type="cellIs" dxfId="237" priority="401" stopIfTrue="1" operator="equal">
      <formula>"L"</formula>
    </cfRule>
    <cfRule type="cellIs" dxfId="236" priority="402" stopIfTrue="1" operator="equal">
      <formula>"ü"</formula>
    </cfRule>
  </conditionalFormatting>
  <conditionalFormatting sqref="B59">
    <cfRule type="expression" dxfId="235" priority="399" stopIfTrue="1">
      <formula>$J59="●"</formula>
    </cfRule>
  </conditionalFormatting>
  <conditionalFormatting sqref="EX35:EX36">
    <cfRule type="expression" dxfId="234" priority="467" stopIfTrue="1">
      <formula>AND(FG$8&gt;#REF!,FF$8&lt;=#REF!)</formula>
    </cfRule>
    <cfRule type="expression" dxfId="233" priority="468" stopIfTrue="1">
      <formula>FF$9="X"</formula>
    </cfRule>
  </conditionalFormatting>
  <conditionalFormatting sqref="EV14:EV15 EX14:EX15">
    <cfRule type="expression" dxfId="232" priority="469" stopIfTrue="1">
      <formula>AND(FE$8&gt;#REF!,FD$8&lt;=#REF!)</formula>
    </cfRule>
    <cfRule type="expression" dxfId="231" priority="470" stopIfTrue="1">
      <formula>FD$9="X"</formula>
    </cfRule>
  </conditionalFormatting>
  <conditionalFormatting sqref="G11:H11 G13:I13 H14 G28:Y28 BW28:DS28 G34:I34 E58:G58 E61:H62 H58:H59">
    <cfRule type="expression" dxfId="230" priority="471" stopIfTrue="1">
      <formula>AND($F11&lt;TODAY(),$I11&lt;&gt;"ü",$I11&lt;&gt;"")</formula>
    </cfRule>
  </conditionalFormatting>
  <conditionalFormatting sqref="B13 B28 B34">
    <cfRule type="expression" dxfId="229" priority="472" stopIfTrue="1">
      <formula>#REF!="●"</formula>
    </cfRule>
  </conditionalFormatting>
  <conditionalFormatting sqref="E13:F13 E28:F28 E34:F34">
    <cfRule type="expression" dxfId="228" priority="473" stopIfTrue="1">
      <formula>AND($F13&lt;TODAY(),#REF!&lt;&gt;"ü",#REF!&lt;&gt;"")</formula>
    </cfRule>
  </conditionalFormatting>
  <conditionalFormatting sqref="G14">
    <cfRule type="expression" dxfId="227" priority="380" stopIfTrue="1">
      <formula>AND($F14&lt;TODAY(),$I14&lt;&gt;"ü",$I14&lt;&gt;"")</formula>
    </cfRule>
  </conditionalFormatting>
  <conditionalFormatting sqref="E14:E15">
    <cfRule type="expression" dxfId="226" priority="381" stopIfTrue="1">
      <formula>AND($F14&lt;TODAY(),#REF!&lt;&gt;"ü",#REF!&lt;&gt;"")</formula>
    </cfRule>
  </conditionalFormatting>
  <conditionalFormatting sqref="G59">
    <cfRule type="expression" dxfId="225" priority="378" stopIfTrue="1">
      <formula>AND($F59&lt;TODAY(),$I59&lt;&gt;"ü",$I59&lt;&gt;"")</formula>
    </cfRule>
  </conditionalFormatting>
  <conditionalFormatting sqref="E60">
    <cfRule type="expression" dxfId="224" priority="379" stopIfTrue="1">
      <formula>AND($F60&lt;TODAY(),#REF!&lt;&gt;"ü",#REF!&lt;&gt;"")</formula>
    </cfRule>
  </conditionalFormatting>
  <conditionalFormatting sqref="I29:I30">
    <cfRule type="cellIs" dxfId="223" priority="373" stopIfTrue="1" operator="equal">
      <formula>"@"</formula>
    </cfRule>
    <cfRule type="cellIs" dxfId="222" priority="374" stopIfTrue="1" operator="equal">
      <formula>"L"</formula>
    </cfRule>
    <cfRule type="cellIs" dxfId="221" priority="375" stopIfTrue="1" operator="equal">
      <formula>"ü"</formula>
    </cfRule>
  </conditionalFormatting>
  <conditionalFormatting sqref="G31:I31">
    <cfRule type="expression" dxfId="220" priority="376" stopIfTrue="1">
      <formula>AND($F31&lt;TODAY(),$I31&lt;&gt;"ü",$I31&lt;&gt;"")</formula>
    </cfRule>
  </conditionalFormatting>
  <conditionalFormatting sqref="E31:F31">
    <cfRule type="expression" dxfId="219" priority="377" stopIfTrue="1">
      <formula>AND($F31&lt;TODAY(),#REF!&lt;&gt;"ü",#REF!&lt;&gt;"")</formula>
    </cfRule>
  </conditionalFormatting>
  <conditionalFormatting sqref="J32:Y32 FJ32 BW32:CG32 DK32:EW32 EY32:FH32 CI32 CK32:DB32 DI32">
    <cfRule type="expression" dxfId="218" priority="359" stopIfTrue="1">
      <formula>AND(K$8&gt;$E32,J$8&lt;=$F32)</formula>
    </cfRule>
    <cfRule type="expression" dxfId="217" priority="360" stopIfTrue="1">
      <formula>J$9="X"</formula>
    </cfRule>
  </conditionalFormatting>
  <conditionalFormatting sqref="DJ33 DJ42 DJ45 DJ54 DJ48 DJ51">
    <cfRule type="expression" dxfId="216" priority="358" stopIfTrue="1">
      <formula>AND(#REF!&gt;$E33,DJ$8&lt;=$F33)</formula>
    </cfRule>
    <cfRule type="expression" dxfId="215" priority="363" stopIfTrue="1">
      <formula>DJ$9="X"</formula>
    </cfRule>
  </conditionalFormatting>
  <conditionalFormatting sqref="FI33 FI42 FI45 FI54 FI48 FI51">
    <cfRule type="expression" dxfId="214" priority="368" stopIfTrue="1">
      <formula>AND(#REF!&gt;$E33,FI$8&lt;=$F33)</formula>
    </cfRule>
    <cfRule type="expression" dxfId="213" priority="369" stopIfTrue="1">
      <formula>FI$9="X"</formula>
    </cfRule>
  </conditionalFormatting>
  <conditionalFormatting sqref="I32:I33">
    <cfRule type="cellIs" dxfId="212" priority="355" stopIfTrue="1" operator="equal">
      <formula>"@"</formula>
    </cfRule>
    <cfRule type="cellIs" dxfId="211" priority="356" stopIfTrue="1" operator="equal">
      <formula>"L"</formula>
    </cfRule>
    <cfRule type="cellIs" dxfId="210" priority="357" stopIfTrue="1" operator="equal">
      <formula>"ü"</formula>
    </cfRule>
  </conditionalFormatting>
  <conditionalFormatting sqref="EV34 EX34">
    <cfRule type="expression" dxfId="209" priority="474" stopIfTrue="1">
      <formula>AND(FE$8&gt;#REF!,FD$8&lt;=#REF!)</formula>
    </cfRule>
    <cfRule type="expression" dxfId="208" priority="475" stopIfTrue="1">
      <formula>FD$9="X"</formula>
    </cfRule>
  </conditionalFormatting>
  <conditionalFormatting sqref="EX32:EX33">
    <cfRule type="expression" dxfId="207" priority="476" stopIfTrue="1">
      <formula>AND(FG$8&gt;#REF!,FF$8&lt;=#REF!)</formula>
    </cfRule>
    <cfRule type="expression" dxfId="206" priority="477" stopIfTrue="1">
      <formula>FF$9="X"</formula>
    </cfRule>
  </conditionalFormatting>
  <conditionalFormatting sqref="EX30">
    <cfRule type="expression" dxfId="205" priority="478" stopIfTrue="1">
      <formula>AND(FG$8&gt;#REF!,FF$8&lt;=#REF!)</formula>
    </cfRule>
    <cfRule type="expression" dxfId="204" priority="479" stopIfTrue="1">
      <formula>FF$9="X"</formula>
    </cfRule>
  </conditionalFormatting>
  <conditionalFormatting sqref="EV30">
    <cfRule type="expression" dxfId="203" priority="480" stopIfTrue="1">
      <formula>AND(FE$8&gt;#REF!,FD$8&lt;=#REF!)</formula>
    </cfRule>
    <cfRule type="expression" dxfId="202" priority="481" stopIfTrue="1">
      <formula>FD$9="X"</formula>
    </cfRule>
  </conditionalFormatting>
  <conditionalFormatting sqref="FH6">
    <cfRule type="expression" dxfId="201" priority="316" stopIfTrue="1">
      <formula>#REF!="x"</formula>
    </cfRule>
  </conditionalFormatting>
  <conditionalFormatting sqref="EV13">
    <cfRule type="expression" dxfId="200" priority="314" stopIfTrue="1">
      <formula>AND(EX$8&gt;$E13,EV$8&lt;=$F13)</formula>
    </cfRule>
    <cfRule type="expression" dxfId="199" priority="315" stopIfTrue="1">
      <formula>EV$9="X"</formula>
    </cfRule>
  </conditionalFormatting>
  <conditionalFormatting sqref="EX13">
    <cfRule type="expression" dxfId="198" priority="312" stopIfTrue="1">
      <formula>AND(EZ$8&gt;$E13,EX$8&lt;=$F13)</formula>
    </cfRule>
    <cfRule type="expression" dxfId="197" priority="313" stopIfTrue="1">
      <formula>EX$9="X"</formula>
    </cfRule>
  </conditionalFormatting>
  <conditionalFormatting sqref="J11:FJ11 J14:FJ14 J29:EU29 EW29:FJ29 J32:FJ32 J35:FJ35 J38:FJ38 EX39:EX40 J56:FJ56 J59:FJ59 J41:FJ41 J44:FJ44 J53:FJ53 EX42:EX43 EX54:EX55 J47:FJ47 J50:FJ50 EX45:EX46 EX48:EX49 EX51:EX52">
    <cfRule type="expression" dxfId="196" priority="433" stopIfTrue="1">
      <formula>AND(K$8&gt;$E11,J$8&lt;=$F11)</formula>
    </cfRule>
  </conditionalFormatting>
  <conditionalFormatting sqref="EV31:EY31">
    <cfRule type="expression" dxfId="195" priority="310" stopIfTrue="1">
      <formula>AND(EX$8&gt;$E31,EV$8&lt;=$F31)</formula>
    </cfRule>
    <cfRule type="expression" dxfId="194" priority="311" stopIfTrue="1">
      <formula>EV$9="X"</formula>
    </cfRule>
  </conditionalFormatting>
  <conditionalFormatting sqref="EV29">
    <cfRule type="expression" dxfId="193" priority="308" stopIfTrue="1">
      <formula>AND(EX$8&gt;$E29,EV$8&lt;=$F29)</formula>
    </cfRule>
    <cfRule type="expression" dxfId="192" priority="309" stopIfTrue="1">
      <formula>EV$9="X"</formula>
    </cfRule>
  </conditionalFormatting>
  <conditionalFormatting sqref="EV28:EY28">
    <cfRule type="expression" dxfId="191" priority="306" stopIfTrue="1">
      <formula>AND(EX$8&gt;$E28,EV$8&lt;=$F28)</formula>
    </cfRule>
    <cfRule type="expression" dxfId="190" priority="307" stopIfTrue="1">
      <formula>EV$9="X"</formula>
    </cfRule>
  </conditionalFormatting>
  <conditionalFormatting sqref="EX39">
    <cfRule type="expression" dxfId="189" priority="301" stopIfTrue="1">
      <formula>EX$9="X"</formula>
    </cfRule>
  </conditionalFormatting>
  <conditionalFormatting sqref="EX40">
    <cfRule type="expression" dxfId="188" priority="300" stopIfTrue="1">
      <formula>EX$9="X"</formula>
    </cfRule>
  </conditionalFormatting>
  <conditionalFormatting sqref="E59">
    <cfRule type="expression" dxfId="187" priority="293" stopIfTrue="1">
      <formula>AND($F59&lt;TODAY(),#REF!&lt;&gt;"ü",#REF!&lt;&gt;"")</formula>
    </cfRule>
  </conditionalFormatting>
  <conditionalFormatting sqref="F59">
    <cfRule type="expression" dxfId="186" priority="298" stopIfTrue="1">
      <formula>AND($F59&lt;TODAY(),#REF!&lt;&gt;"ü",#REF!&lt;&gt;"")</formula>
    </cfRule>
  </conditionalFormatting>
  <conditionalFormatting sqref="F15">
    <cfRule type="expression" dxfId="185" priority="297" stopIfTrue="1">
      <formula>AND($F15&lt;TODAY(),#REF!&lt;&gt;"ü",#REF!&lt;&gt;"")</formula>
    </cfRule>
  </conditionalFormatting>
  <conditionalFormatting sqref="F60">
    <cfRule type="expression" dxfId="184" priority="295" stopIfTrue="1">
      <formula>AND($F60&lt;TODAY(),#REF!&lt;&gt;"ü",#REF!&lt;&gt;"")</formula>
    </cfRule>
  </conditionalFormatting>
  <conditionalFormatting sqref="F30">
    <cfRule type="expression" dxfId="183" priority="271" stopIfTrue="1">
      <formula>AND($F30&lt;TODAY(),#REF!&lt;&gt;"ü",#REF!&lt;&gt;"")</formula>
    </cfRule>
  </conditionalFormatting>
  <conditionalFormatting sqref="H37 H40">
    <cfRule type="expression" dxfId="182" priority="290" stopIfTrue="1">
      <formula>AND($F37&lt;TODAY(),$I37&lt;&gt;"ü",$I37&lt;&gt;"")</formula>
    </cfRule>
  </conditionalFormatting>
  <conditionalFormatting sqref="E37:G37 E40:G40">
    <cfRule type="expression" dxfId="181" priority="292" stopIfTrue="1">
      <formula>AND($F37&lt;TODAY(),$I37&lt;&gt;"ü",$I37&lt;&gt;"")</formula>
    </cfRule>
  </conditionalFormatting>
  <conditionalFormatting sqref="B37 B40">
    <cfRule type="expression" dxfId="180" priority="291" stopIfTrue="1">
      <formula>$I37="●"</formula>
    </cfRule>
  </conditionalFormatting>
  <conditionalFormatting sqref="E36:F36 E39:F39 E35 E38">
    <cfRule type="expression" dxfId="179" priority="289" stopIfTrue="1">
      <formula>AND($F35&lt;TODAY(),#REF!&lt;&gt;"ü",#REF!&lt;&gt;"")</formula>
    </cfRule>
  </conditionalFormatting>
  <conditionalFormatting sqref="F35 F38">
    <cfRule type="expression" dxfId="178" priority="286" stopIfTrue="1">
      <formula>AND($F35&lt;TODAY(),#REF!&lt;&gt;"ü",#REF!&lt;&gt;"")</formula>
    </cfRule>
  </conditionalFormatting>
  <conditionalFormatting sqref="E33:F33 E32">
    <cfRule type="expression" dxfId="177" priority="280" stopIfTrue="1">
      <formula>AND($F32&lt;TODAY(),#REF!&lt;&gt;"ü",#REF!&lt;&gt;"")</formula>
    </cfRule>
  </conditionalFormatting>
  <conditionalFormatting sqref="F32">
    <cfRule type="expression" dxfId="176" priority="278" stopIfTrue="1">
      <formula>AND($F32&lt;TODAY(),#REF!&lt;&gt;"ü",#REF!&lt;&gt;"")</formula>
    </cfRule>
  </conditionalFormatting>
  <conditionalFormatting sqref="E12:F12 E11">
    <cfRule type="expression" dxfId="175" priority="276" stopIfTrue="1">
      <formula>AND($F11&lt;TODAY(),#REF!&lt;&gt;"ü",#REF!&lt;&gt;"")</formula>
    </cfRule>
  </conditionalFormatting>
  <conditionalFormatting sqref="F11">
    <cfRule type="expression" dxfId="174" priority="275" stopIfTrue="1">
      <formula>AND($F11&lt;TODAY(),#REF!&lt;&gt;"ü",#REF!&lt;&gt;"")</formula>
    </cfRule>
  </conditionalFormatting>
  <conditionalFormatting sqref="F14">
    <cfRule type="expression" dxfId="173" priority="274" stopIfTrue="1">
      <formula>AND($F14&lt;TODAY(),#REF!&lt;&gt;"ü",#REF!&lt;&gt;"")</formula>
    </cfRule>
  </conditionalFormatting>
  <conditionalFormatting sqref="E29:E30">
    <cfRule type="expression" dxfId="172" priority="273" stopIfTrue="1">
      <formula>AND($F29&lt;TODAY(),#REF!&lt;&gt;"ü",#REF!&lt;&gt;"")</formula>
    </cfRule>
  </conditionalFormatting>
  <conditionalFormatting sqref="F29">
    <cfRule type="expression" dxfId="171" priority="270" stopIfTrue="1">
      <formula>AND($F29&lt;TODAY(),#REF!&lt;&gt;"ü",#REF!&lt;&gt;"")</formula>
    </cfRule>
  </conditionalFormatting>
  <conditionalFormatting sqref="DC16:DH16 J27:DB27 DI27:FJ27 BE16:BF16 BE26:BF26 DC26:DH27">
    <cfRule type="expression" dxfId="170" priority="252" stopIfTrue="1">
      <formula>AND(K$8&gt;$E16,J$8&lt;=$F16)</formula>
    </cfRule>
    <cfRule type="expression" dxfId="169" priority="253" stopIfTrue="1">
      <formula>J$9="X"</formula>
    </cfRule>
  </conditionalFormatting>
  <conditionalFormatting sqref="DI16:ET16 EW26 J16:BD16 BG16:DB16 EY16:FJ16 BG27:BV27 Z27:BD27 EY26:FJ26 BG26:DB26 J26:BD26 DI26:ET26">
    <cfRule type="expression" dxfId="168" priority="251" stopIfTrue="1">
      <formula>J$9="X"</formula>
    </cfRule>
  </conditionalFormatting>
  <conditionalFormatting sqref="EU27">
    <cfRule type="expression" dxfId="167" priority="254" stopIfTrue="1">
      <formula>AND(EW$8&gt;$E27,EU$8&lt;=$F27)</formula>
    </cfRule>
    <cfRule type="expression" dxfId="166" priority="255" stopIfTrue="1">
      <formula>EU$9="X"</formula>
    </cfRule>
  </conditionalFormatting>
  <conditionalFormatting sqref="EU16 EW16 EU26">
    <cfRule type="expression" dxfId="165" priority="256" stopIfTrue="1">
      <formula>AND(EW$8&gt;$E16,EU$8&lt;=$F16)</formula>
    </cfRule>
    <cfRule type="expression" dxfId="164" priority="257" stopIfTrue="1">
      <formula>EU$9="X"</formula>
    </cfRule>
  </conditionalFormatting>
  <conditionalFormatting sqref="I26:I27">
    <cfRule type="cellIs" dxfId="163" priority="247" stopIfTrue="1" operator="equal">
      <formula>"@"</formula>
    </cfRule>
    <cfRule type="cellIs" dxfId="162" priority="248" stopIfTrue="1" operator="equal">
      <formula>"L"</formula>
    </cfRule>
    <cfRule type="cellIs" dxfId="161" priority="249" stopIfTrue="1" operator="equal">
      <formula>"ü"</formula>
    </cfRule>
  </conditionalFormatting>
  <conditionalFormatting sqref="EV26:EV27 EX26:EX27">
    <cfRule type="expression" dxfId="160" priority="258" stopIfTrue="1">
      <formula>AND(FE$8&gt;#REF!,FD$8&lt;=#REF!)</formula>
    </cfRule>
    <cfRule type="expression" dxfId="159" priority="259" stopIfTrue="1">
      <formula>FD$9="X"</formula>
    </cfRule>
  </conditionalFormatting>
  <conditionalFormatting sqref="G16:I16">
    <cfRule type="expression" dxfId="158" priority="260" stopIfTrue="1">
      <formula>AND($F16&lt;TODAY(),$I16&lt;&gt;"ü",$I16&lt;&gt;"")</formula>
    </cfRule>
  </conditionalFormatting>
  <conditionalFormatting sqref="B16">
    <cfRule type="expression" dxfId="157" priority="261" stopIfTrue="1">
      <formula>#REF!="●"</formula>
    </cfRule>
  </conditionalFormatting>
  <conditionalFormatting sqref="E16:F16">
    <cfRule type="expression" dxfId="156" priority="262" stopIfTrue="1">
      <formula>AND($F16&lt;TODAY(),#REF!&lt;&gt;"ü",#REF!&lt;&gt;"")</formula>
    </cfRule>
  </conditionalFormatting>
  <conditionalFormatting sqref="E26:E27">
    <cfRule type="expression" dxfId="155" priority="246" stopIfTrue="1">
      <formula>AND($F26&lt;TODAY(),#REF!&lt;&gt;"ü",#REF!&lt;&gt;"")</formula>
    </cfRule>
  </conditionalFormatting>
  <conditionalFormatting sqref="EV16">
    <cfRule type="expression" dxfId="154" priority="243" stopIfTrue="1">
      <formula>AND(EX$8&gt;$E16,EV$8&lt;=$F16)</formula>
    </cfRule>
    <cfRule type="expression" dxfId="153" priority="244" stopIfTrue="1">
      <formula>EV$9="X"</formula>
    </cfRule>
  </conditionalFormatting>
  <conditionalFormatting sqref="EX16">
    <cfRule type="expression" dxfId="152" priority="241" stopIfTrue="1">
      <formula>AND(EZ$8&gt;$E16,EX$8&lt;=$F16)</formula>
    </cfRule>
    <cfRule type="expression" dxfId="151" priority="242" stopIfTrue="1">
      <formula>EX$9="X"</formula>
    </cfRule>
  </conditionalFormatting>
  <conditionalFormatting sqref="J26:FJ26">
    <cfRule type="expression" dxfId="150" priority="250" stopIfTrue="1">
      <formula>AND(K$8&gt;$E26,J$8&lt;=$F26)</formula>
    </cfRule>
  </conditionalFormatting>
  <conditionalFormatting sqref="F27">
    <cfRule type="expression" dxfId="149" priority="240" stopIfTrue="1">
      <formula>AND($F27&lt;TODAY(),#REF!&lt;&gt;"ü",#REF!&lt;&gt;"")</formula>
    </cfRule>
  </conditionalFormatting>
  <conditionalFormatting sqref="F26">
    <cfRule type="expression" dxfId="148" priority="239" stopIfTrue="1">
      <formula>AND($F26&lt;TODAY(),#REF!&lt;&gt;"ü",#REF!&lt;&gt;"")</formula>
    </cfRule>
  </conditionalFormatting>
  <conditionalFormatting sqref="E57:F57">
    <cfRule type="expression" dxfId="147" priority="237" stopIfTrue="1">
      <formula>AND($F57&lt;TODAY(),#REF!&lt;&gt;"ü",#REF!&lt;&gt;"")</formula>
    </cfRule>
  </conditionalFormatting>
  <conditionalFormatting sqref="F56">
    <cfRule type="expression" dxfId="146" priority="235" stopIfTrue="1">
      <formula>AND($F56&lt;TODAY(),#REF!&lt;&gt;"ü",#REF!&lt;&gt;"")</formula>
    </cfRule>
  </conditionalFormatting>
  <conditionalFormatting sqref="B14">
    <cfRule type="expression" dxfId="145" priority="200" stopIfTrue="1">
      <formula>$H14="●"</formula>
    </cfRule>
  </conditionalFormatting>
  <conditionalFormatting sqref="B31">
    <cfRule type="expression" dxfId="144" priority="197" stopIfTrue="1">
      <formula>$I31="●"</formula>
    </cfRule>
  </conditionalFormatting>
  <conditionalFormatting sqref="FJ43:FJ44 FJ52:FJ53 FJ55 J43:BD44 J52:BD53 J55:BD55 DK43:EV44 DK52:EV53 DK55:EV55 EY43:FH44 EY52:FH53 EY55:FH55 DI43:DI44 DI52:DI53 DI55 BG43:DB44 BG52:DB53 BG55:DB55">
    <cfRule type="expression" dxfId="143" priority="174" stopIfTrue="1">
      <formula>J$9="X"</formula>
    </cfRule>
  </conditionalFormatting>
  <conditionalFormatting sqref="I43 I52 I55">
    <cfRule type="cellIs" dxfId="142" priority="170" stopIfTrue="1" operator="equal">
      <formula>"L"</formula>
    </cfRule>
    <cfRule type="cellIs" dxfId="141" priority="171" stopIfTrue="1" operator="equal">
      <formula>"ü"</formula>
    </cfRule>
  </conditionalFormatting>
  <conditionalFormatting sqref="I41:I42 I44:I45 I53:I54">
    <cfRule type="cellIs" dxfId="140" priority="167" stopIfTrue="1" operator="equal">
      <formula>"@"</formula>
    </cfRule>
    <cfRule type="cellIs" dxfId="139" priority="168" stopIfTrue="1" operator="equal">
      <formula>"L"</formula>
    </cfRule>
    <cfRule type="cellIs" dxfId="138" priority="169" stopIfTrue="1" operator="equal">
      <formula>"ü"</formula>
    </cfRule>
  </conditionalFormatting>
  <conditionalFormatting sqref="EX43 EX52 EX55">
    <cfRule type="expression" dxfId="137" priority="166" stopIfTrue="1">
      <formula>EX$9="X"</formula>
    </cfRule>
  </conditionalFormatting>
  <conditionalFormatting sqref="EX42 EX45 EX54">
    <cfRule type="expression" dxfId="136" priority="165" stopIfTrue="1">
      <formula>EX$9="X"</formula>
    </cfRule>
  </conditionalFormatting>
  <conditionalFormatting sqref="H43 H52 H55">
    <cfRule type="expression" dxfId="135" priority="163" stopIfTrue="1">
      <formula>AND($F43&lt;TODAY(),$I43&lt;&gt;"ü",$I43&lt;&gt;"")</formula>
    </cfRule>
  </conditionalFormatting>
  <conditionalFormatting sqref="E43:F43 E52:F52 E55:F55">
    <cfRule type="expression" dxfId="134" priority="164" stopIfTrue="1">
      <formula>AND($F43&lt;TODAY(),$I43&lt;&gt;"ü",$I43&lt;&gt;"")</formula>
    </cfRule>
  </conditionalFormatting>
  <conditionalFormatting sqref="EX41 EX44 EX53">
    <cfRule type="expression" dxfId="133" priority="188" stopIfTrue="1">
      <formula>AND(FG$8&gt;#REF!,FF$8&lt;=#REF!)</formula>
    </cfRule>
    <cfRule type="expression" dxfId="132" priority="189" stopIfTrue="1">
      <formula>FF$9="X"</formula>
    </cfRule>
  </conditionalFormatting>
  <conditionalFormatting sqref="B43">
    <cfRule type="expression" dxfId="131" priority="161" stopIfTrue="1">
      <formula>$I43="●"</formula>
    </cfRule>
  </conditionalFormatting>
  <conditionalFormatting sqref="G43">
    <cfRule type="expression" dxfId="130" priority="158" stopIfTrue="1">
      <formula>AND($F43&lt;TODAY(),$I43&lt;&gt;"ü",$I43&lt;&gt;"")</formula>
    </cfRule>
  </conditionalFormatting>
  <conditionalFormatting sqref="E42:F42 E41">
    <cfRule type="expression" dxfId="129" priority="155" stopIfTrue="1">
      <formula>AND($F41&lt;TODAY(),#REF!&lt;&gt;"ü",#REF!&lt;&gt;"")</formula>
    </cfRule>
  </conditionalFormatting>
  <conditionalFormatting sqref="F41">
    <cfRule type="expression" dxfId="128" priority="154" stopIfTrue="1">
      <formula>AND($F41&lt;TODAY(),#REF!&lt;&gt;"ü",#REF!&lt;&gt;"")</formula>
    </cfRule>
  </conditionalFormatting>
  <conditionalFormatting sqref="E45:F45 E44">
    <cfRule type="expression" dxfId="127" priority="153" stopIfTrue="1">
      <formula>AND($F44&lt;TODAY(),#REF!&lt;&gt;"ü",#REF!&lt;&gt;"")</formula>
    </cfRule>
  </conditionalFormatting>
  <conditionalFormatting sqref="F44">
    <cfRule type="expression" dxfId="126" priority="152" stopIfTrue="1">
      <formula>AND($F44&lt;TODAY(),#REF!&lt;&gt;"ü",#REF!&lt;&gt;"")</formula>
    </cfRule>
  </conditionalFormatting>
  <conditionalFormatting sqref="FJ46:FJ47 FJ49:FJ50 J46:BD47 J49:BD50 DK46:EV47 DK49:EV50 EY46:FH47 EY49:FH50 DI46:DI47 DI49:DI50 BG46:DB47 BG49:DB50">
    <cfRule type="expression" dxfId="125" priority="136" stopIfTrue="1">
      <formula>J$9="X"</formula>
    </cfRule>
  </conditionalFormatting>
  <conditionalFormatting sqref="I46 I49">
    <cfRule type="cellIs" dxfId="124" priority="132" stopIfTrue="1" operator="equal">
      <formula>"L"</formula>
    </cfRule>
    <cfRule type="cellIs" dxfId="123" priority="133" stopIfTrue="1" operator="equal">
      <formula>"ü"</formula>
    </cfRule>
  </conditionalFormatting>
  <conditionalFormatting sqref="I47:I48 I50:I51">
    <cfRule type="cellIs" dxfId="122" priority="129" stopIfTrue="1" operator="equal">
      <formula>"@"</formula>
    </cfRule>
    <cfRule type="cellIs" dxfId="121" priority="130" stopIfTrue="1" operator="equal">
      <formula>"L"</formula>
    </cfRule>
    <cfRule type="cellIs" dxfId="120" priority="131" stopIfTrue="1" operator="equal">
      <formula>"ü"</formula>
    </cfRule>
  </conditionalFormatting>
  <conditionalFormatting sqref="EX46 EX49">
    <cfRule type="expression" dxfId="119" priority="128" stopIfTrue="1">
      <formula>EX$9="X"</formula>
    </cfRule>
  </conditionalFormatting>
  <conditionalFormatting sqref="EX48 EX51">
    <cfRule type="expression" dxfId="118" priority="127" stopIfTrue="1">
      <formula>EX$9="X"</formula>
    </cfRule>
  </conditionalFormatting>
  <conditionalFormatting sqref="H46 H49">
    <cfRule type="expression" dxfId="117" priority="125" stopIfTrue="1">
      <formula>AND($F46&lt;TODAY(),$I46&lt;&gt;"ü",$I46&lt;&gt;"")</formula>
    </cfRule>
  </conditionalFormatting>
  <conditionalFormatting sqref="E46:F46 E49:F49">
    <cfRule type="expression" dxfId="116" priority="126" stopIfTrue="1">
      <formula>AND($F46&lt;TODAY(),$I46&lt;&gt;"ü",$I46&lt;&gt;"")</formula>
    </cfRule>
  </conditionalFormatting>
  <conditionalFormatting sqref="EX47 EX50">
    <cfRule type="expression" dxfId="115" priority="150" stopIfTrue="1">
      <formula>AND(FG$8&gt;#REF!,FF$8&lt;=#REF!)</formula>
    </cfRule>
    <cfRule type="expression" dxfId="114" priority="151" stopIfTrue="1">
      <formula>FF$9="X"</formula>
    </cfRule>
  </conditionalFormatting>
  <conditionalFormatting sqref="B46">
    <cfRule type="expression" dxfId="113" priority="123" stopIfTrue="1">
      <formula>$I46="●"</formula>
    </cfRule>
  </conditionalFormatting>
  <conditionalFormatting sqref="G46">
    <cfRule type="expression" dxfId="112" priority="122" stopIfTrue="1">
      <formula>AND($F46&lt;TODAY(),$I46&lt;&gt;"ü",$I46&lt;&gt;"")</formula>
    </cfRule>
  </conditionalFormatting>
  <conditionalFormatting sqref="B55">
    <cfRule type="expression" dxfId="111" priority="121" stopIfTrue="1">
      <formula>$I55="●"</formula>
    </cfRule>
  </conditionalFormatting>
  <conditionalFormatting sqref="B56">
    <cfRule type="expression" dxfId="110" priority="120" stopIfTrue="1">
      <formula>$I56="●"</formula>
    </cfRule>
  </conditionalFormatting>
  <conditionalFormatting sqref="B49 B52">
    <cfRule type="expression" dxfId="109" priority="119" stopIfTrue="1">
      <formula>$I49="●"</formula>
    </cfRule>
  </conditionalFormatting>
  <conditionalFormatting sqref="G55">
    <cfRule type="expression" dxfId="108" priority="116" stopIfTrue="1">
      <formula>AND($F55&lt;TODAY(),$I55&lt;&gt;"ü",$I55&lt;&gt;"")</formula>
    </cfRule>
  </conditionalFormatting>
  <conditionalFormatting sqref="G56">
    <cfRule type="expression" dxfId="107" priority="117" stopIfTrue="1">
      <formula>AND($F56&lt;TODAY(),#REF!&lt;&gt;"ü",#REF!&lt;&gt;"")</formula>
    </cfRule>
  </conditionalFormatting>
  <conditionalFormatting sqref="G49 G52">
    <cfRule type="expression" dxfId="106" priority="115" stopIfTrue="1">
      <formula>AND($F49&lt;TODAY(),$I49&lt;&gt;"ü",$I49&lt;&gt;"")</formula>
    </cfRule>
  </conditionalFormatting>
  <conditionalFormatting sqref="E48:F48 E47">
    <cfRule type="expression" dxfId="105" priority="113" stopIfTrue="1">
      <formula>AND($F47&lt;TODAY(),#REF!&lt;&gt;"ü",#REF!&lt;&gt;"")</formula>
    </cfRule>
  </conditionalFormatting>
  <conditionalFormatting sqref="F47">
    <cfRule type="expression" dxfId="104" priority="112" stopIfTrue="1">
      <formula>AND($F47&lt;TODAY(),#REF!&lt;&gt;"ü",#REF!&lt;&gt;"")</formula>
    </cfRule>
  </conditionalFormatting>
  <conditionalFormatting sqref="E51:F51 E50">
    <cfRule type="expression" dxfId="103" priority="111" stopIfTrue="1">
      <formula>AND($F50&lt;TODAY(),#REF!&lt;&gt;"ü",#REF!&lt;&gt;"")</formula>
    </cfRule>
  </conditionalFormatting>
  <conditionalFormatting sqref="F50">
    <cfRule type="expression" dxfId="102" priority="110" stopIfTrue="1">
      <formula>AND($F50&lt;TODAY(),#REF!&lt;&gt;"ü",#REF!&lt;&gt;"")</formula>
    </cfRule>
  </conditionalFormatting>
  <conditionalFormatting sqref="E54:F54 E53">
    <cfRule type="expression" dxfId="101" priority="109" stopIfTrue="1">
      <formula>AND($F53&lt;TODAY(),#REF!&lt;&gt;"ü",#REF!&lt;&gt;"")</formula>
    </cfRule>
  </conditionalFormatting>
  <conditionalFormatting sqref="F53">
    <cfRule type="expression" dxfId="100" priority="108" stopIfTrue="1">
      <formula>AND($F53&lt;TODAY(),#REF!&lt;&gt;"ü",#REF!&lt;&gt;"")</formula>
    </cfRule>
  </conditionalFormatting>
  <conditionalFormatting sqref="J18:FJ18 CH17 CH19 BE17:BF17 BE19:BF19 DC17:DH17 DC19:DH19">
    <cfRule type="expression" dxfId="99" priority="96" stopIfTrue="1">
      <formula>AND(K$8&gt;$E17,J$8&lt;=$F17)</formula>
    </cfRule>
    <cfRule type="expression" dxfId="98" priority="97" stopIfTrue="1">
      <formula>J$9="X"</formula>
    </cfRule>
  </conditionalFormatting>
  <conditionalFormatting sqref="DI19:ET19 BW19:CG19 CI19 CK19:DB19 J19:Y19 DI17:EU17 BW17:CG17 CI17:DB17 J17:Y17 CJ18:CJ19 EY17:FJ17 EW17 EZ19:FJ19 Z17:BD19 BG17:BV19">
    <cfRule type="expression" dxfId="97" priority="95" stopIfTrue="1">
      <formula>J$9="X"</formula>
    </cfRule>
  </conditionalFormatting>
  <conditionalFormatting sqref="EU18">
    <cfRule type="expression" dxfId="96" priority="98" stopIfTrue="1">
      <formula>AND(EW$8&gt;$E18,EU$8&lt;=$F18)</formula>
    </cfRule>
    <cfRule type="expression" dxfId="95" priority="99" stopIfTrue="1">
      <formula>EU$9="X"</formula>
    </cfRule>
  </conditionalFormatting>
  <conditionalFormatting sqref="EU19">
    <cfRule type="expression" dxfId="94" priority="100" stopIfTrue="1">
      <formula>AND(EW$8&gt;$E19,EU$8&lt;=$F19)</formula>
    </cfRule>
    <cfRule type="expression" dxfId="93" priority="101" stopIfTrue="1">
      <formula>EU$9="X"</formula>
    </cfRule>
  </conditionalFormatting>
  <conditionalFormatting sqref="I17:I18">
    <cfRule type="cellIs" dxfId="92" priority="89" stopIfTrue="1" operator="equal">
      <formula>"@"</formula>
    </cfRule>
    <cfRule type="cellIs" dxfId="91" priority="90" stopIfTrue="1" operator="equal">
      <formula>"L"</formula>
    </cfRule>
    <cfRule type="cellIs" dxfId="90" priority="91" stopIfTrue="1" operator="equal">
      <formula>"ü"</formula>
    </cfRule>
  </conditionalFormatting>
  <conditionalFormatting sqref="G19:I19">
    <cfRule type="expression" dxfId="89" priority="92" stopIfTrue="1">
      <formula>AND($F19&lt;TODAY(),$I19&lt;&gt;"ü",$I19&lt;&gt;"")</formula>
    </cfRule>
  </conditionalFormatting>
  <conditionalFormatting sqref="E19:F19">
    <cfRule type="expression" dxfId="88" priority="93" stopIfTrue="1">
      <formula>AND($F19&lt;TODAY(),#REF!&lt;&gt;"ü",#REF!&lt;&gt;"")</formula>
    </cfRule>
  </conditionalFormatting>
  <conditionalFormatting sqref="H17">
    <cfRule type="expression" dxfId="87" priority="88" stopIfTrue="1">
      <formula>AND($F17&lt;TODAY(),$I17&lt;&gt;"ü",$I17&lt;&gt;"")</formula>
    </cfRule>
  </conditionalFormatting>
  <conditionalFormatting sqref="EX18">
    <cfRule type="expression" dxfId="86" priority="104" stopIfTrue="1">
      <formula>AND(FG$8&gt;#REF!,FF$8&lt;=#REF!)</formula>
    </cfRule>
    <cfRule type="expression" dxfId="85" priority="105" stopIfTrue="1">
      <formula>FF$9="X"</formula>
    </cfRule>
  </conditionalFormatting>
  <conditionalFormatting sqref="EV18">
    <cfRule type="expression" dxfId="84" priority="106" stopIfTrue="1">
      <formula>AND(FE$8&gt;#REF!,FD$8&lt;=#REF!)</formula>
    </cfRule>
    <cfRule type="expression" dxfId="83" priority="107" stopIfTrue="1">
      <formula>FD$9="X"</formula>
    </cfRule>
  </conditionalFormatting>
  <conditionalFormatting sqref="J17:EU17 EW17:FJ17">
    <cfRule type="expression" dxfId="82" priority="94" stopIfTrue="1">
      <formula>AND(K$8&gt;$E17,J$8&lt;=$F17)</formula>
    </cfRule>
  </conditionalFormatting>
  <conditionalFormatting sqref="EV19:EY19">
    <cfRule type="expression" dxfId="81" priority="86" stopIfTrue="1">
      <formula>AND(EX$8&gt;$E19,EV$8&lt;=$F19)</formula>
    </cfRule>
    <cfRule type="expression" dxfId="80" priority="87" stopIfTrue="1">
      <formula>EV$9="X"</formula>
    </cfRule>
  </conditionalFormatting>
  <conditionalFormatting sqref="EV17">
    <cfRule type="expression" dxfId="79" priority="84" stopIfTrue="1">
      <formula>AND(EX$8&gt;$E17,EV$8&lt;=$F17)</formula>
    </cfRule>
    <cfRule type="expression" dxfId="78" priority="85" stopIfTrue="1">
      <formula>EV$9="X"</formula>
    </cfRule>
  </conditionalFormatting>
  <conditionalFormatting sqref="F18">
    <cfRule type="expression" dxfId="77" priority="81" stopIfTrue="1">
      <formula>AND($F18&lt;TODAY(),#REF!&lt;&gt;"ü",#REF!&lt;&gt;"")</formula>
    </cfRule>
  </conditionalFormatting>
  <conditionalFormatting sqref="G17">
    <cfRule type="expression" dxfId="76" priority="82" stopIfTrue="1">
      <formula>AND($F17&lt;TODAY(),$I17&lt;&gt;"ü",$I17&lt;&gt;"")</formula>
    </cfRule>
  </conditionalFormatting>
  <conditionalFormatting sqref="E17:E18">
    <cfRule type="expression" dxfId="75" priority="83" stopIfTrue="1">
      <formula>AND($F17&lt;TODAY(),#REF!&lt;&gt;"ü",#REF!&lt;&gt;"")</formula>
    </cfRule>
  </conditionalFormatting>
  <conditionalFormatting sqref="F17">
    <cfRule type="expression" dxfId="74" priority="80" stopIfTrue="1">
      <formula>AND($F17&lt;TODAY(),#REF!&lt;&gt;"ü",#REF!&lt;&gt;"")</formula>
    </cfRule>
  </conditionalFormatting>
  <conditionalFormatting sqref="B17">
    <cfRule type="expression" dxfId="73" priority="79" stopIfTrue="1">
      <formula>$H17="●"</formula>
    </cfRule>
  </conditionalFormatting>
  <conditionalFormatting sqref="B19">
    <cfRule type="expression" dxfId="72" priority="78" stopIfTrue="1">
      <formula>$I19="●"</formula>
    </cfRule>
  </conditionalFormatting>
  <conditionalFormatting sqref="BE25:BF25">
    <cfRule type="expression" dxfId="71" priority="71" stopIfTrue="1">
      <formula>AND(BF$8&gt;$E25,BE$8&lt;=$F25)</formula>
    </cfRule>
    <cfRule type="expression" dxfId="70" priority="72" stopIfTrue="1">
      <formula>BE$9="X"</formula>
    </cfRule>
  </conditionalFormatting>
  <conditionalFormatting sqref="DT25:ET25 EZ25:FJ25 Z25:BD25 BG25:BV25">
    <cfRule type="expression" dxfId="69" priority="70" stopIfTrue="1">
      <formula>Z$9="X"</formula>
    </cfRule>
  </conditionalFormatting>
  <conditionalFormatting sqref="EU25">
    <cfRule type="expression" dxfId="68" priority="73" stopIfTrue="1">
      <formula>AND(EW$8&gt;$E25,EU$8&lt;=$F25)</formula>
    </cfRule>
    <cfRule type="expression" dxfId="67" priority="74" stopIfTrue="1">
      <formula>EU$9="X"</formula>
    </cfRule>
  </conditionalFormatting>
  <conditionalFormatting sqref="G25:Y25 BW25:DS25">
    <cfRule type="expression" dxfId="66" priority="75" stopIfTrue="1">
      <formula>AND($F25&lt;TODAY(),$I25&lt;&gt;"ü",$I25&lt;&gt;"")</formula>
    </cfRule>
  </conditionalFormatting>
  <conditionalFormatting sqref="B25">
    <cfRule type="expression" dxfId="65" priority="76" stopIfTrue="1">
      <formula>#REF!="●"</formula>
    </cfRule>
  </conditionalFormatting>
  <conditionalFormatting sqref="E25:F25">
    <cfRule type="expression" dxfId="64" priority="77" stopIfTrue="1">
      <formula>AND($F25&lt;TODAY(),#REF!&lt;&gt;"ü",#REF!&lt;&gt;"")</formula>
    </cfRule>
  </conditionalFormatting>
  <conditionalFormatting sqref="EV25:EY25">
    <cfRule type="expression" dxfId="63" priority="68" stopIfTrue="1">
      <formula>AND(EX$8&gt;$E25,EV$8&lt;=$F25)</formula>
    </cfRule>
    <cfRule type="expression" dxfId="62" priority="69" stopIfTrue="1">
      <formula>EV$9="X"</formula>
    </cfRule>
  </conditionalFormatting>
  <conditionalFormatting sqref="J24:DB24 DI24:FJ24 BE23:BF23 DC23:DH24">
    <cfRule type="expression" dxfId="61" priority="60" stopIfTrue="1">
      <formula>AND(K$8&gt;$E23,J$8&lt;=$F23)</formula>
    </cfRule>
    <cfRule type="expression" dxfId="60" priority="61" stopIfTrue="1">
      <formula>J$9="X"</formula>
    </cfRule>
  </conditionalFormatting>
  <conditionalFormatting sqref="EW23 BG24:BV24 Z24:BD24 EY23:FJ23 BG23:DB23 J23:BD23 DI23:ET23">
    <cfRule type="expression" dxfId="59" priority="59" stopIfTrue="1">
      <formula>J$9="X"</formula>
    </cfRule>
  </conditionalFormatting>
  <conditionalFormatting sqref="EU24">
    <cfRule type="expression" dxfId="58" priority="62" stopIfTrue="1">
      <formula>AND(EW$8&gt;$E24,EU$8&lt;=$F24)</formula>
    </cfRule>
    <cfRule type="expression" dxfId="57" priority="63" stopIfTrue="1">
      <formula>EU$9="X"</formula>
    </cfRule>
  </conditionalFormatting>
  <conditionalFormatting sqref="EU23">
    <cfRule type="expression" dxfId="56" priority="64" stopIfTrue="1">
      <formula>AND(EW$8&gt;$E23,EU$8&lt;=$F23)</formula>
    </cfRule>
    <cfRule type="expression" dxfId="55" priority="65" stopIfTrue="1">
      <formula>EU$9="X"</formula>
    </cfRule>
  </conditionalFormatting>
  <conditionalFormatting sqref="I23:I24">
    <cfRule type="cellIs" dxfId="54" priority="55" stopIfTrue="1" operator="equal">
      <formula>"@"</formula>
    </cfRule>
    <cfRule type="cellIs" dxfId="53" priority="56" stopIfTrue="1" operator="equal">
      <formula>"L"</formula>
    </cfRule>
    <cfRule type="cellIs" dxfId="52" priority="57" stopIfTrue="1" operator="equal">
      <formula>"ü"</formula>
    </cfRule>
  </conditionalFormatting>
  <conditionalFormatting sqref="EV23:EV24 EX23:EX24">
    <cfRule type="expression" dxfId="51" priority="66" stopIfTrue="1">
      <formula>AND(FE$8&gt;#REF!,FD$8&lt;=#REF!)</formula>
    </cfRule>
    <cfRule type="expression" dxfId="50" priority="67" stopIfTrue="1">
      <formula>FD$9="X"</formula>
    </cfRule>
  </conditionalFormatting>
  <conditionalFormatting sqref="E23:E24">
    <cfRule type="expression" dxfId="49" priority="54" stopIfTrue="1">
      <formula>AND($F23&lt;TODAY(),#REF!&lt;&gt;"ü",#REF!&lt;&gt;"")</formula>
    </cfRule>
  </conditionalFormatting>
  <conditionalFormatting sqref="J23:FJ23">
    <cfRule type="expression" dxfId="48" priority="58" stopIfTrue="1">
      <formula>AND(K$8&gt;$E23,J$8&lt;=$F23)</formula>
    </cfRule>
  </conditionalFormatting>
  <conditionalFormatting sqref="F24">
    <cfRule type="expression" dxfId="47" priority="52" stopIfTrue="1">
      <formula>AND($F24&lt;TODAY(),#REF!&lt;&gt;"ü",#REF!&lt;&gt;"")</formula>
    </cfRule>
  </conditionalFormatting>
  <conditionalFormatting sqref="F23">
    <cfRule type="expression" dxfId="46" priority="51" stopIfTrue="1">
      <formula>AND($F23&lt;TODAY(),#REF!&lt;&gt;"ü",#REF!&lt;&gt;"")</formula>
    </cfRule>
  </conditionalFormatting>
  <conditionalFormatting sqref="BE22:BF22">
    <cfRule type="expression" dxfId="45" priority="42" stopIfTrue="1">
      <formula>AND(BF$8&gt;$E22,BE$8&lt;=$F22)</formula>
    </cfRule>
    <cfRule type="expression" dxfId="44" priority="43" stopIfTrue="1">
      <formula>BE$9="X"</formula>
    </cfRule>
  </conditionalFormatting>
  <conditionalFormatting sqref="DT22:ET22 EZ22:FJ22 Z22:BD22 BG22:BV22">
    <cfRule type="expression" dxfId="43" priority="41" stopIfTrue="1">
      <formula>Z$9="X"</formula>
    </cfRule>
  </conditionalFormatting>
  <conditionalFormatting sqref="EU22">
    <cfRule type="expression" dxfId="42" priority="44" stopIfTrue="1">
      <formula>AND(EW$8&gt;$E22,EU$8&lt;=$F22)</formula>
    </cfRule>
    <cfRule type="expression" dxfId="41" priority="45" stopIfTrue="1">
      <formula>EU$9="X"</formula>
    </cfRule>
  </conditionalFormatting>
  <conditionalFormatting sqref="G22:Y22 BW22:DS22">
    <cfRule type="expression" dxfId="40" priority="46" stopIfTrue="1">
      <formula>AND($F22&lt;TODAY(),$I22&lt;&gt;"ü",$I22&lt;&gt;"")</formula>
    </cfRule>
  </conditionalFormatting>
  <conditionalFormatting sqref="B22">
    <cfRule type="expression" dxfId="39" priority="47" stopIfTrue="1">
      <formula>#REF!="●"</formula>
    </cfRule>
  </conditionalFormatting>
  <conditionalFormatting sqref="E22:F22">
    <cfRule type="expression" dxfId="38" priority="48" stopIfTrue="1">
      <formula>AND($F22&lt;TODAY(),#REF!&lt;&gt;"ü",#REF!&lt;&gt;"")</formula>
    </cfRule>
  </conditionalFormatting>
  <conditionalFormatting sqref="EV22:EY22">
    <cfRule type="expression" dxfId="37" priority="39" stopIfTrue="1">
      <formula>AND(EX$8&gt;$E22,EV$8&lt;=$F22)</formula>
    </cfRule>
    <cfRule type="expression" dxfId="36" priority="40" stopIfTrue="1">
      <formula>EV$9="X"</formula>
    </cfRule>
  </conditionalFormatting>
  <conditionalFormatting sqref="J21:DB21 DI21:FJ21 BE20:BF20 DC20:DH21">
    <cfRule type="expression" dxfId="35" priority="31" stopIfTrue="1">
      <formula>AND(K$8&gt;$E20,J$8&lt;=$F20)</formula>
    </cfRule>
    <cfRule type="expression" dxfId="34" priority="32" stopIfTrue="1">
      <formula>J$9="X"</formula>
    </cfRule>
  </conditionalFormatting>
  <conditionalFormatting sqref="EW20 BG21:BV21 Z21:BD21 EY20:FJ20 BG20:DB20 J20:BD20 DI20:ET20">
    <cfRule type="expression" dxfId="33" priority="30" stopIfTrue="1">
      <formula>J$9="X"</formula>
    </cfRule>
  </conditionalFormatting>
  <conditionalFormatting sqref="EU21">
    <cfRule type="expression" dxfId="32" priority="33" stopIfTrue="1">
      <formula>AND(EW$8&gt;$E21,EU$8&lt;=$F21)</formula>
    </cfRule>
    <cfRule type="expression" dxfId="31" priority="34" stopIfTrue="1">
      <formula>EU$9="X"</formula>
    </cfRule>
  </conditionalFormatting>
  <conditionalFormatting sqref="EU20">
    <cfRule type="expression" dxfId="30" priority="35" stopIfTrue="1">
      <formula>AND(EW$8&gt;$E20,EU$8&lt;=$F20)</formula>
    </cfRule>
    <cfRule type="expression" dxfId="29" priority="36" stopIfTrue="1">
      <formula>EU$9="X"</formula>
    </cfRule>
  </conditionalFormatting>
  <conditionalFormatting sqref="I20:I21">
    <cfRule type="cellIs" dxfId="28" priority="26" stopIfTrue="1" operator="equal">
      <formula>"@"</formula>
    </cfRule>
    <cfRule type="cellIs" dxfId="27" priority="27" stopIfTrue="1" operator="equal">
      <formula>"L"</formula>
    </cfRule>
    <cfRule type="cellIs" dxfId="26" priority="28" stopIfTrue="1" operator="equal">
      <formula>"ü"</formula>
    </cfRule>
  </conditionalFormatting>
  <conditionalFormatting sqref="EV20:EV21 EX20:EX21">
    <cfRule type="expression" dxfId="25" priority="37" stopIfTrue="1">
      <formula>AND(FE$8&gt;#REF!,FD$8&lt;=#REF!)</formula>
    </cfRule>
    <cfRule type="expression" dxfId="24" priority="38" stopIfTrue="1">
      <formula>FD$9="X"</formula>
    </cfRule>
  </conditionalFormatting>
  <conditionalFormatting sqref="E20:E21">
    <cfRule type="expression" dxfId="23" priority="25" stopIfTrue="1">
      <formula>AND($F20&lt;TODAY(),#REF!&lt;&gt;"ü",#REF!&lt;&gt;"")</formula>
    </cfRule>
  </conditionalFormatting>
  <conditionalFormatting sqref="J20:FJ20">
    <cfRule type="expression" dxfId="22" priority="29" stopIfTrue="1">
      <formula>AND(K$8&gt;$E20,J$8&lt;=$F20)</formula>
    </cfRule>
  </conditionalFormatting>
  <conditionalFormatting sqref="F21">
    <cfRule type="expression" dxfId="21" priority="23" stopIfTrue="1">
      <formula>AND($F21&lt;TODAY(),#REF!&lt;&gt;"ü",#REF!&lt;&gt;"")</formula>
    </cfRule>
  </conditionalFormatting>
  <conditionalFormatting sqref="F20">
    <cfRule type="expression" dxfId="20" priority="22" stopIfTrue="1">
      <formula>AND($F20&lt;TODAY(),#REF!&lt;&gt;"ü",#REF!&lt;&gt;"")</formula>
    </cfRule>
  </conditionalFormatting>
  <conditionalFormatting sqref="EX17">
    <cfRule type="expression" dxfId="19" priority="4259" stopIfTrue="1">
      <formula>AND(FG$8&gt;#REF!,FF$8&lt;=#REF!)</formula>
    </cfRule>
    <cfRule type="expression" dxfId="18" priority="4260" stopIfTrue="1">
      <formula>FF$9="X"</formula>
    </cfRule>
  </conditionalFormatting>
  <conditionalFormatting sqref="EX29">
    <cfRule type="expression" dxfId="17" priority="4261" stopIfTrue="1">
      <formula>AND(FG$8&gt;$E34,FF$8&lt;=$F34)</formula>
    </cfRule>
    <cfRule type="expression" dxfId="16" priority="4262" stopIfTrue="1">
      <formula>FF$9="X"</formula>
    </cfRule>
  </conditionalFormatting>
  <conditionalFormatting sqref="B53 B50 B47 B44 B41 B38 B35 B32 B29 B26 B23 B20">
    <cfRule type="expression" dxfId="15" priority="17" stopIfTrue="1">
      <formula>$H20="●"</formula>
    </cfRule>
  </conditionalFormatting>
  <conditionalFormatting sqref="H56 H53 H50 H47 H44 H41 H38 H35 H32 H29 H26 H23">
    <cfRule type="expression" dxfId="14" priority="16" stopIfTrue="1">
      <formula>AND($F23&lt;TODAY(),$I23&lt;&gt;"ü",$I23&lt;&gt;"")</formula>
    </cfRule>
  </conditionalFormatting>
  <conditionalFormatting sqref="H20">
    <cfRule type="expression" dxfId="13" priority="15" stopIfTrue="1">
      <formula>AND($F20&lt;TODAY(),$I20&lt;&gt;"ü",$I20&lt;&gt;"")</formula>
    </cfRule>
  </conditionalFormatting>
  <conditionalFormatting sqref="E56">
    <cfRule type="expression" dxfId="12" priority="14" stopIfTrue="1">
      <formula>AND($F56&lt;TODAY(),#REF!&lt;&gt;"ü",#REF!&lt;&gt;"")</formula>
    </cfRule>
  </conditionalFormatting>
  <conditionalFormatting sqref="G20">
    <cfRule type="expression" dxfId="11" priority="13" stopIfTrue="1">
      <formula>AND($F20&lt;TODAY(),$I20&lt;&gt;"ü",$I20&lt;&gt;"")</formula>
    </cfRule>
  </conditionalFormatting>
  <conditionalFormatting sqref="G23">
    <cfRule type="expression" dxfId="10" priority="12" stopIfTrue="1">
      <formula>AND($F23&lt;TODAY(),$I23&lt;&gt;"ü",$I23&lt;&gt;"")</formula>
    </cfRule>
  </conditionalFormatting>
  <conditionalFormatting sqref="G26">
    <cfRule type="expression" dxfId="9" priority="11" stopIfTrue="1">
      <formula>AND($F26&lt;TODAY(),$I26&lt;&gt;"ü",$I26&lt;&gt;"")</formula>
    </cfRule>
  </conditionalFormatting>
  <conditionalFormatting sqref="G29">
    <cfRule type="expression" dxfId="8" priority="10" stopIfTrue="1">
      <formula>AND($F29&lt;TODAY(),$I29&lt;&gt;"ü",$I29&lt;&gt;"")</formula>
    </cfRule>
  </conditionalFormatting>
  <conditionalFormatting sqref="G32">
    <cfRule type="expression" dxfId="7" priority="9" stopIfTrue="1">
      <formula>AND($F32&lt;TODAY(),$I32&lt;&gt;"ü",$I32&lt;&gt;"")</formula>
    </cfRule>
  </conditionalFormatting>
  <conditionalFormatting sqref="G35">
    <cfRule type="expression" dxfId="6" priority="8" stopIfTrue="1">
      <formula>AND($F35&lt;TODAY(),$I35&lt;&gt;"ü",$I35&lt;&gt;"")</formula>
    </cfRule>
  </conditionalFormatting>
  <conditionalFormatting sqref="G38">
    <cfRule type="expression" dxfId="5" priority="7" stopIfTrue="1">
      <formula>AND($F38&lt;TODAY(),$I38&lt;&gt;"ü",$I38&lt;&gt;"")</formula>
    </cfRule>
  </conditionalFormatting>
  <conditionalFormatting sqref="G41">
    <cfRule type="expression" dxfId="4" priority="5" stopIfTrue="1">
      <formula>AND($F41&lt;TODAY(),$I41&lt;&gt;"ü",$I41&lt;&gt;"")</formula>
    </cfRule>
  </conditionalFormatting>
  <conditionalFormatting sqref="G44">
    <cfRule type="expression" dxfId="3" priority="4" stopIfTrue="1">
      <formula>AND($F44&lt;TODAY(),$I44&lt;&gt;"ü",$I44&lt;&gt;"")</formula>
    </cfRule>
  </conditionalFormatting>
  <conditionalFormatting sqref="G47">
    <cfRule type="expression" dxfId="2" priority="3" stopIfTrue="1">
      <formula>AND($F47&lt;TODAY(),$I47&lt;&gt;"ü",$I47&lt;&gt;"")</formula>
    </cfRule>
  </conditionalFormatting>
  <conditionalFormatting sqref="G50">
    <cfRule type="expression" dxfId="1" priority="2" stopIfTrue="1">
      <formula>AND($F50&lt;TODAY(),$I50&lt;&gt;"ü",$I50&lt;&gt;"")</formula>
    </cfRule>
  </conditionalFormatting>
  <conditionalFormatting sqref="G53">
    <cfRule type="expression" dxfId="0" priority="1" stopIfTrue="1">
      <formula>AND($F53&lt;TODAY(),$I53&lt;&gt;"ü",$I53&lt;&gt;"")</formula>
    </cfRule>
  </conditionalFormatting>
  <dataValidations count="1">
    <dataValidation type="list" allowBlank="1" showInputMessage="1" showErrorMessage="1" sqref="I56:I57 I59:I60 I38:I39 I35:I36 I11:I12 I29:I30 I32:I33 I14:I18 I26:I27 I23:I24 I20:I21" xr:uid="{00000000-0002-0000-0000-000000000000}">
      <formula1>"ü,L"</formula1>
    </dataValidation>
  </dataValidations>
  <printOptions horizontalCentered="1"/>
  <pageMargins left="0.19685039370078741" right="0.19685039370078741" top="0.19685039370078741" bottom="0.19685039370078741" header="0" footer="0.19685039370078741"/>
  <pageSetup paperSize="8" scale="63" orientation="landscape" r:id="rId1"/>
  <headerFooter alignWithMargins="0">
    <oddFooter>&amp;L&amp;"Bosch Office Sans,Regular"Preventive Quality Planning&amp;C&amp;"Bosch Office Sans,Regular"&amp;D</oddFooter>
  </headerFooter>
  <customProperties>
    <customPr name="EpmWorksheetKeyString_GUID" r:id="rId2"/>
  </customProperties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osch Document" ma:contentTypeID="0x010100B6495D7B60E5384CBEA1321C207B6530008DAA4F2946A6C24DB22ECC3B585DD650" ma:contentTypeVersion="3" ma:contentTypeDescription="Create a new document." ma:contentTypeScope="" ma:versionID="f8a75e9ba432f2a95183cbe4891c0fd3">
  <xsd:schema xmlns:xsd="http://www.w3.org/2001/XMLSchema" xmlns:xs="http://www.w3.org/2001/XMLSchema" xmlns:p="http://schemas.microsoft.com/office/2006/metadata/properties" xmlns:ns1="http://schemas.microsoft.com/sharepoint/v3" xmlns:ns2="a8d7d405-bc4f-4e43-bdb5-2a3aba075e5d" targetNamespace="http://schemas.microsoft.com/office/2006/metadata/properties" ma:root="true" ma:fieldsID="b1646c932aae75ec51fa597d24de1a30" ns1:_="" ns2:_="">
    <xsd:import namespace="http://schemas.microsoft.com/sharepoint/v3"/>
    <xsd:import namespace="a8d7d405-bc4f-4e43-bdb5-2a3aba075e5d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e68a34d96c04451caec8222be060a73a" minOccurs="0"/>
                <xsd:element ref="ns2:TaxCatchAll" minOccurs="0"/>
                <xsd:element ref="ns2:TaxCatchAllLabel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ikesCount" ma:index="15" nillable="true" ma:displayName="Number of Likes" ma:internalName="LikesCount">
      <xsd:simpleType>
        <xsd:restriction base="dms:Unknown"/>
      </xsd:simpleType>
    </xsd:element>
    <xsd:element name="LikedBy" ma:index="16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d7d405-bc4f-4e43-bdb5-2a3aba075e5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e68a34d96c04451caec8222be060a73a" ma:index="11" nillable="true" ma:taxonomy="true" ma:internalName="e68a34d96c04451caec8222be060a73a" ma:taxonomyFieldName="DMSKeywords" ma:displayName="Keywords" ma:fieldId="{e68a34d9-6c04-451c-aec8-222be060a73a}" ma:sspId="b81b984e-7d9a-4f77-a40b-67f8485df2c3" ma:termSetId="2d420278-c5e9-42df-9556-6ebbf9aa06c5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a99e629e-1f52-4e7d-8b29-b73f54a5491c}" ma:internalName="TaxCatchAll" ma:showField="CatchAllData" ma:web="a8d7d405-bc4f-4e43-bdb5-2a3aba075e5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3" nillable="true" ma:displayName="Taxonomy Catch All Column1" ma:hidden="true" ma:list="{a99e629e-1f52-4e7d-8b29-b73f54a5491c}" ma:internalName="TaxCatchAllLabel" ma:readOnly="true" ma:showField="CatchAllDataLabel" ma:web="a8d7d405-bc4f-4e43-bdb5-2a3aba075e5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LongProperties xmlns="http://schemas.microsoft.com/office/2006/metadata/longProperties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kesCount xmlns="http://schemas.microsoft.com/sharepoint/v3" xsi:nil="true"/>
    <TaxCatchAll xmlns="a8d7d405-bc4f-4e43-bdb5-2a3aba075e5d"/>
    <LikedBy xmlns="http://schemas.microsoft.com/sharepoint/v3">
      <UserInfo>
        <DisplayName/>
        <AccountId xsi:nil="true"/>
        <AccountType/>
      </UserInfo>
    </LikedBy>
    <e68a34d96c04451caec8222be060a73a xmlns="a8d7d405-bc4f-4e43-bdb5-2a3aba075e5d">
      <Terms xmlns="http://schemas.microsoft.com/office/infopath/2007/PartnerControls"/>
    </e68a34d96c04451caec8222be060a73a>
  </documentManagement>
</p:properties>
</file>

<file path=customXml/item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4981798F-9B50-4728-AC9B-1664A489BF5E}"/>
</file>

<file path=customXml/itemProps2.xml><?xml version="1.0" encoding="utf-8"?>
<ds:datastoreItem xmlns:ds="http://schemas.openxmlformats.org/officeDocument/2006/customXml" ds:itemID="{21CD0919-0390-46D6-8C38-A1506C1B7B3C}"/>
</file>

<file path=customXml/itemProps3.xml><?xml version="1.0" encoding="utf-8"?>
<ds:datastoreItem xmlns:ds="http://schemas.openxmlformats.org/officeDocument/2006/customXml" ds:itemID="{4E8DCC0E-E0AC-485A-A85B-518D670D01A4}"/>
</file>

<file path=customXml/itemProps4.xml><?xml version="1.0" encoding="utf-8"?>
<ds:datastoreItem xmlns:ds="http://schemas.openxmlformats.org/officeDocument/2006/customXml" ds:itemID="{A56A0B78-EF2E-4D3C-BE33-502A86F90F38}"/>
</file>

<file path=customXml/itemProps5.xml><?xml version="1.0" encoding="utf-8"?>
<ds:datastoreItem xmlns:ds="http://schemas.openxmlformats.org/officeDocument/2006/customXml" ds:itemID="{5A681AC3-EEE8-4560-85CA-DFAA9D7DDF0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BOSCH Group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sga9ca</dc:creator>
  <cp:keywords/>
  <dc:description/>
  <cp:lastModifiedBy>Silva Naiury (CaP/ETS)</cp:lastModifiedBy>
  <cp:revision/>
  <dcterms:created xsi:type="dcterms:W3CDTF">2010-04-14T20:43:49Z</dcterms:created>
  <dcterms:modified xsi:type="dcterms:W3CDTF">2023-01-23T16:39:47Z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">
    <vt:lpwstr>P01S044748-730816938-95</vt:lpwstr>
  </property>
  <property fmtid="{D5CDD505-2E9C-101B-9397-08002B2CF9AE}" pid="3" name="_dlc_DocIdItemGuid">
    <vt:lpwstr>9c5213c4-c989-43f9-87bf-46dbfe5914dd</vt:lpwstr>
  </property>
  <property fmtid="{D5CDD505-2E9C-101B-9397-08002B2CF9AE}" pid="4" name="_dlc_DocIdUrl">
    <vt:lpwstr>https://sites.inside-share.bosch.com/sites/044748/_layouts/15/DocIdRedir.aspx?ID=P01S044748-730816938-95, P01S044748-730816938-95</vt:lpwstr>
  </property>
  <property fmtid="{D5CDD505-2E9C-101B-9397-08002B2CF9AE}" pid="5" name="ArchivingPeriod">
    <vt:lpwstr>infinite</vt:lpwstr>
  </property>
  <property fmtid="{D5CDD505-2E9C-101B-9397-08002B2CF9AE}" pid="6" name="Historicalrelevance">
    <vt:lpwstr>No</vt:lpwstr>
  </property>
  <property fmtid="{D5CDD505-2E9C-101B-9397-08002B2CF9AE}" pid="7" name="c5182bdc5bac450281e2386df3c83aee">
    <vt:lpwstr/>
  </property>
  <property fmtid="{D5CDD505-2E9C-101B-9397-08002B2CF9AE}" pid="8" name="DMSKeywords">
    <vt:lpwstr/>
  </property>
  <property fmtid="{D5CDD505-2E9C-101B-9397-08002B2CF9AE}" pid="9" name="CSC">
    <vt:lpwstr>1</vt:lpwstr>
  </property>
  <property fmtid="{D5CDD505-2E9C-101B-9397-08002B2CF9AE}" pid="10" name="ASC">
    <vt:lpwstr>1</vt:lpwstr>
  </property>
  <property fmtid="{D5CDD505-2E9C-101B-9397-08002B2CF9AE}" pid="11" name="ISC">
    <vt:lpwstr>1</vt:lpwstr>
  </property>
  <property fmtid="{D5CDD505-2E9C-101B-9397-08002B2CF9AE}" pid="12" name="Safeguarding">
    <vt:lpwstr>No</vt:lpwstr>
  </property>
  <property fmtid="{D5CDD505-2E9C-101B-9397-08002B2CF9AE}" pid="13" name="SV_QUERY_LIST_4F35BF76-6C0D-4D9B-82B2-816C12CF3733">
    <vt:lpwstr>empty_477D106A-C0D6-4607-AEBD-E2C9D60EA279</vt:lpwstr>
  </property>
  <property fmtid="{D5CDD505-2E9C-101B-9397-08002B2CF9AE}" pid="14" name="SV_HIDDEN_GRID_QUERY_LIST_4F35BF76-6C0D-4D9B-82B2-816C12CF3733">
    <vt:lpwstr>empty_477D106A-C0D6-4607-AEBD-E2C9D60EA279</vt:lpwstr>
  </property>
</Properties>
</file>